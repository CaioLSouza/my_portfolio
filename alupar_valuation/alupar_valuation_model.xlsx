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Dados de origem" sheetId="2" state="visible" r:id="rId2"/>
    <sheet name="Inputs" sheetId="3" state="visible" r:id="rId3"/>
    <sheet name="Transmissão" sheetId="4" state="visible" r:id="rId4"/>
    <sheet name="Geração" sheetId="5" state="visible" r:id="rId5"/>
    <sheet name="Consolidado" sheetId="6" state="visible" r:id="rId6"/>
    <sheet name="Valuation" sheetId="7" state="visible" r:id="rId7"/>
    <sheet name="Sensibilidade" sheetId="8" state="visible" r:id="rId8"/>
  </sheets>
  <definedNames>
    <definedName name="PxUnit">'Dados de origem'!$C$6</definedName>
    <definedName name="AcoesTot">'Dados de origem'!$C$7</definedName>
    <definedName name="AcoesUnit">'Dados de origem'!$C$8</definedName>
    <definedName name="PL">'Dados de origem'!$C$9</definedName>
    <definedName name="RecCons1T">'Dados de origem'!$C$11</definedName>
    <definedName name="RecTr1T">'Dados de origem'!$C$12</definedName>
    <definedName name="EbitdaCons1T">'Dados de origem'!$C$13</definedName>
    <definedName name="Lucro1T">'Dados de origem'!$C$14</definedName>
    <definedName name="Lucro25">'Dados de origem'!$C$15</definedName>
    <definedName name="DivBruta">'Dados de origem'!$C$17</definedName>
    <definedName name="Caixa">'Dados de origem'!$C$18</definedName>
    <definedName name="DivLiq0">'Dados de origem'!$C$19</definedName>
    <definedName name="NSist">'Dados de origem'!$C$21</definedName>
    <definedName name="CapexTot">'Dados de origem'!$C$22</definedName>
    <definedName name="RapLote">'Dados de origem'!$C$23</definedName>
    <definedName name="CapexLote">'Dados de origem'!$C$24</definedName>
    <definedName name="MWinst">'Dados de origem'!$C$25</definedName>
    <definedName name="Units">'Dados de origem'!$C$28</definedName>
    <definedName name="MktCap">'Dados de origem'!$C$29</definedName>
    <definedName name="FirmValue">'Dados de origem'!$C$30</definedName>
    <definedName name="YieldLeilao">'Dados de origem'!$C$31</definedName>
    <definedName name="RecTrAnual">'Dados de origem'!$C$32</definedName>
    <definedName name="AnoBase">'Inputs'!$C$5</definedName>
    <definedName name="NTNB">'Inputs'!$C$6</definedName>
    <definedName name="ERP">'Inputs'!$C$7</definedName>
    <definedName name="KdReal">'Inputs'!$C$8</definedName>
    <definedName name="Infl">'Inputs'!$C$9</definedName>
    <definedName name="DedTr">'Inputs'!$C$12</definedName>
    <definedName name="OMTr">'Inputs'!$C$13</definedName>
    <definedName name="Erosao">'Inputs'!$C$14</definedName>
    <definedName name="AnoIniVenc">'Inputs'!$C$15</definedName>
    <definedName name="AnoFimVenc">'Inputs'!$C$16</definedName>
    <definedName name="CapexMan">'Inputs'!$C$17</definedName>
    <definedName name="EficCapex">'Inputs'!$C$20</definedName>
    <definedName name="YieldRAP">'Inputs'!$C$21</definedName>
    <definedName name="Lag">'Inputs'!$C$22</definedName>
    <definedName name="CapexA">'Inputs'!$C$23</definedName>
    <definedName name="CapexB">'Inputs'!$C$24</definedName>
    <definedName name="CapexC">'Inputs'!$C$25</definedName>
    <definedName name="CapexD">'Inputs'!$C$26</definedName>
    <definedName name="CapexSoma">'Inputs'!$C$27</definedName>
    <definedName name="PrazoNovo">'Inputs'!$C$28</definedName>
    <definedName name="AnoUltLeilao">'Inputs'!$C$29</definedName>
    <definedName name="CapexRec">'Inputs'!$C$30</definedName>
    <definedName name="MWmed">'Inputs'!$C$33</definedName>
    <definedName name="PxMWh">'Inputs'!$C$34</definedName>
    <definedName name="DedGe">'Inputs'!$C$35</definedName>
    <definedName name="OMGe">'Inputs'!$C$36</definedName>
    <definedName name="ComercRec">'Inputs'!$C$37</definedName>
    <definedName name="ComercMg">'Inputs'!$C$38</definedName>
    <definedName name="AnoFimGer">'Inputs'!$C$39</definedName>
    <definedName name="Holding">'Inputs'!$C$42</definedName>
    <definedName name="TaxEff">'Inputs'!$C$43</definedName>
    <definedName name="Minor">'Inputs'!$C$44</definedName>
    <definedName name="PctDivida">'Inputs'!$C$45</definedName>
    <definedName name="PrazoDiv">'Inputs'!$C$46</definedName>
    <definedName name="VT">'Inputs'!$C$47</definedName>
    <definedName name="Ke">'Inputs'!$C$49</definedName>
    <definedName name="Equity">'Valuation'!$B$66</definedName>
    <definedName name="Alvo">'Valuation'!$B$68</definedName>
    <definedName name="TIRreal">'Valuation'!$B$71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R$ #,##0.00"/>
    <numFmt numFmtId="165" formatCode="#,##0.0"/>
    <numFmt numFmtId="166" formatCode="0.0%"/>
    <numFmt numFmtId="167" formatCode="0.00&quot;x&quot;"/>
    <numFmt numFmtId="168" formatCode="0.0"/>
    <numFmt numFmtId="169" formatCode="0.0000"/>
  </numFmts>
  <fonts count="8">
    <font>
      <name val="Calibri"/>
      <family val="2"/>
      <color theme="1"/>
      <sz val="11"/>
      <scheme val="minor"/>
    </font>
    <font>
      <name val="Arial"/>
      <b val="1"/>
      <color rgb="001A2226"/>
      <sz val="13"/>
    </font>
    <font>
      <name val="Arial"/>
      <color rgb="00595959"/>
      <sz val="9"/>
    </font>
    <font>
      <name val="Arial"/>
      <b val="1"/>
      <color rgb="00FFFFFF"/>
      <sz val="9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000FF"/>
      <sz val="11"/>
    </font>
  </fonts>
  <fills count="5">
    <fill>
      <patternFill/>
    </fill>
    <fill>
      <patternFill patternType="gray125"/>
    </fill>
    <fill>
      <patternFill patternType="solid">
        <fgColor rgb="002F6F74"/>
      </patternFill>
    </fill>
    <fill>
      <patternFill patternType="solid">
        <fgColor rgb="00EAF2F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4" fillId="3" borderId="0" pivotButton="0" quotePrefix="0" xfId="0"/>
    <xf numFmtId="0" fontId="5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5" fillId="0" borderId="0" pivotButton="0" quotePrefix="0" xfId="0"/>
    <xf numFmtId="164" fontId="6" fillId="0" borderId="1" pivotButton="0" quotePrefix="0" xfId="0"/>
    <xf numFmtId="0" fontId="2" fillId="0" borderId="0" applyAlignment="1" pivotButton="0" quotePrefix="0" xfId="0">
      <alignment vertical="top" wrapText="1"/>
    </xf>
    <xf numFmtId="3" fontId="6" fillId="0" borderId="1" pivotButton="0" quotePrefix="0" xfId="0"/>
    <xf numFmtId="1" fontId="6" fillId="0" borderId="1" pivotButton="0" quotePrefix="0" xfId="0"/>
    <xf numFmtId="165" fontId="6" fillId="0" borderId="1" pivotButton="0" quotePrefix="0" xfId="0"/>
    <xf numFmtId="3" fontId="5" fillId="0" borderId="1" pivotButton="0" quotePrefix="0" xfId="0"/>
    <xf numFmtId="165" fontId="5" fillId="0" borderId="1" pivotButton="0" quotePrefix="0" xfId="0"/>
    <xf numFmtId="10" fontId="5" fillId="0" borderId="1" pivotButton="0" quotePrefix="0" xfId="0"/>
    <xf numFmtId="1" fontId="7" fillId="4" borderId="1" pivotButton="0" quotePrefix="0" xfId="0"/>
    <xf numFmtId="10" fontId="7" fillId="4" borderId="1" pivotButton="0" quotePrefix="0" xfId="0"/>
    <xf numFmtId="166" fontId="7" fillId="4" borderId="1" pivotButton="0" quotePrefix="0" xfId="0"/>
    <xf numFmtId="166" fontId="5" fillId="0" borderId="1" pivotButton="0" quotePrefix="0" xfId="0"/>
    <xf numFmtId="165" fontId="7" fillId="4" borderId="1" pivotButton="0" quotePrefix="0" xfId="0"/>
    <xf numFmtId="0" fontId="4" fillId="0" borderId="0" pivotButton="0" quotePrefix="0" xfId="0"/>
    <xf numFmtId="10" fontId="4" fillId="3" borderId="1" pivotButton="0" quotePrefix="0" xfId="0"/>
    <xf numFmtId="1" fontId="4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5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165" fontId="4" fillId="0" borderId="1" pivotButton="0" quotePrefix="0" xfId="0"/>
    <xf numFmtId="167" fontId="4" fillId="0" borderId="1" pivotButton="0" quotePrefix="0" xfId="0"/>
    <xf numFmtId="1" fontId="4" fillId="0" borderId="1" pivotButton="0" quotePrefix="0" xfId="0"/>
    <xf numFmtId="167" fontId="6" fillId="0" borderId="1" pivotButton="0" quotePrefix="0" xfId="0"/>
    <xf numFmtId="168" fontId="5" fillId="0" borderId="0" pivotButton="0" quotePrefix="0" xfId="0"/>
    <xf numFmtId="169" fontId="5" fillId="0" borderId="0" pivotButton="0" quotePrefix="0" xfId="0"/>
    <xf numFmtId="164" fontId="4" fillId="0" borderId="1" pivotButton="0" quotePrefix="0" xfId="0"/>
    <xf numFmtId="10" fontId="4" fillId="0" borderId="1" pivotButton="0" quotePrefix="0" xfId="0"/>
    <xf numFmtId="166" fontId="3" fillId="2" borderId="0" applyAlignment="1" pivotButton="0" quotePrefix="0" xfId="0">
      <alignment horizontal="center"/>
    </xf>
    <xf numFmtId="10" fontId="3" fillId="2" borderId="0" pivotButton="0" quotePrefix="0" xfId="0"/>
    <xf numFmtId="164" fontId="5" fillId="0" borderId="1" pivotButton="0" quotePrefix="0" xfId="0"/>
    <xf numFmtId="0" fontId="3" fillId="2" borderId="0" pivotButton="0" quotePrefix="0" xfId="0"/>
    <xf numFmtId="164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RAP real da transmissão (R$ mn)</a:t>
            </a:r>
          </a:p>
        </rich>
      </tx>
    </title>
    <plotArea>
      <lineChart>
        <grouping val="standard"/>
        <ser>
          <idx val="0"/>
          <order val="0"/>
          <tx>
            <strRef>
              <f>'Transmissão'!F4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'Transmissão'!$A$5:$A$59</f>
            </numRef>
          </cat>
          <val>
            <numRef>
              <f>'Transmissão'!$F$5:$F$59</f>
            </numRef>
          </val>
        </ser>
        <ser>
          <idx val="1"/>
          <order val="1"/>
          <tx>
            <strRef>
              <f>'Transmissão'!E4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'Transmissão'!$A$5:$A$59</f>
            </numRef>
          </cat>
          <val>
            <numRef>
              <f>'Transmissão'!$E$5:$E$59</f>
            </numRef>
          </val>
        </ser>
        <ser>
          <idx val="2"/>
          <order val="2"/>
          <tx>
            <strRef>
              <f>'Transmissão'!H4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'Transmissão'!$A$5:$A$59</f>
            </numRef>
          </cat>
          <val>
            <numRef>
              <f>'Transmissão'!$H$5:$H$59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 mn (moeda de hoje)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15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Alupar (ALUP11) — modelo de valuation</t>
        </is>
      </c>
    </row>
    <row r="3">
      <c r="A3" s="2" t="inlineStr">
        <is>
          <t>O que este arquivo é</t>
        </is>
      </c>
    </row>
    <row r="5" ht="45" customHeight="1">
      <c r="A5" s="3" t="inlineStr">
        <is>
          <t>Um DCF do fluxo de caixa ao acionista da Alupar, montado em termos REAIS (moeda de hoje). A escolha não é estética: a RAP da transmissão é corrigida por IPCA, então projetar em real e descontar a uma taxa real evita embutir inflação duas vezes — e deixa a TIR resultante diretamente comparável com a NTN-B.</t>
        </is>
      </c>
    </row>
    <row r="6" ht="30" customHeight="1">
      <c r="A6" s="3" t="inlineStr">
        <is>
          <t>O workbook inteiro é dirigido por fórmulas. Mexer numa célula amarela de Inputs recalcula tudo, inclusive as sensibilidades. Não existe número calculado gravado como valor.</t>
        </is>
      </c>
    </row>
    <row r="7">
      <c r="A7" s="2" t="inlineStr">
        <is>
          <t>Código de cores</t>
        </is>
      </c>
    </row>
    <row r="9" ht="60" customHeight="1">
      <c r="A9" s="3" t="inlineStr">
        <is>
          <t>AZUL sobre amarelo, na aba Inputs — premissa editável, é sua para calibrar.
AZUL na aba Dados de origem — número público coletado, com a fonte ao lado.
PRETO — fórmula. Não digite por cima.</t>
        </is>
      </c>
    </row>
    <row r="10">
      <c r="A10" s="2" t="inlineStr">
        <is>
          <t>Como o modelo é construído</t>
        </is>
      </c>
    </row>
    <row r="12" ht="75" customHeight="1">
      <c r="A12" s="3" t="inlineStr">
        <is>
          <t>1. TRANSMISSÃO. A RAP bruta da base operacional é reconstruída a partir da receita líquida regulatória de transmissão do 1T26 anualizada, revertida pela alíquota de deduções. O pipeline é tratado em bloco: o capex de R$ 9,1 bi é distribuído entre 2026 e 2029, e cada real desembolsado passa a gerar RAP dois anos depois, ao yield do último leilão (RAP/capex do Lote 7 = 8,9%). A base atual expira linearmente entre 2042 e 2055; o pipeline roda 30 anos a partir da energização.</t>
        </is>
      </c>
    </row>
    <row r="13" ht="45" customHeight="1">
      <c r="A13" s="3" t="inlineStr">
        <is>
          <t>2. GERAÇÃO. Energia assegurada contratada a preço real constante até o fim das outorgas. É a parte mais frágil do modelo — a companhia não abre o MW médio consolidado nos materiais consultados, então o número é premissa, não dado.</t>
        </is>
      </c>
    </row>
    <row r="14" ht="60" customHeight="1">
      <c r="A14" s="3" t="inlineStr">
        <is>
          <t>3. CONSOLIDADO. EBITDA das duas pontas menos holding, imposto efetivo, capex e minoritários. A dívida rola de verdade: capta uma fração do capex de expansão, amortiza linearmente e paga juros reais sobre o saldo. A coluna de alavancagem serve de teste de sanidade — a companhia projeta pico de 3,9–4,0x em 2028, e o modelo deve chegar perto disso com as premissas padrão.</t>
        </is>
      </c>
    </row>
    <row r="15" ht="45" customHeight="1">
      <c r="A15" s="3" t="inlineStr">
        <is>
          <t>4. VALUATION. Desconto a meio de ano ao Ke real (NTN-B + prêmio). O preço-alvo sai do equity dividido pelas units equivalentes; a TIR real implícita resolve a taxa que iguala o fluxo ao valor de mercado de hoje.</t>
        </is>
      </c>
    </row>
    <row r="16">
      <c r="A16" s="2" t="inlineStr">
        <is>
          <t>Onde o modelo é fraco — leia antes de citar qualquer número</t>
        </is>
      </c>
    </row>
    <row r="18" ht="60" customHeight="1">
      <c r="A18" s="3" t="inlineStr">
        <is>
          <t>• O CRONOGRAMA DE VENCIMENTOS É INVENTADO. A base operacional são 31 sistemas com datas de outorga diferentes, e essa lista não estava disponível publicamente na coleta. O decaimento linear entre 2042 e 2055 é uma aproximação grosseira de algo que deveria ser ativo a ativo. É a premissa que mais move o valor no longo prazo. Substitua-a por um cronograma real assim que tiver a lista da ANEEL.</t>
        </is>
      </c>
    </row>
    <row r="19" ht="45" customHeight="1">
      <c r="A19" s="3" t="inlineStr">
        <is>
          <t>• O PIPELINE É TRATADO EM BLOCO. Treze projetos com capex, RAP e datas próprias viram um único agregado ao yield do último leilão. Projetos antigos foram arrematados em condições diferentes, e a RAP efetiva de cada um não é a do Lote 7.</t>
        </is>
      </c>
    </row>
    <row r="20" ht="30" customHeight="1">
      <c r="A20" s="3" t="inlineStr">
        <is>
          <t>• A GERAÇÃO É UMA CAIXA-PRETA. MW médio, preço e opex são todos premissa. Se a geração importa para a sua tese, este bloco precisa ser refeito com os PPAs reais.</t>
        </is>
      </c>
    </row>
    <row r="21" ht="45" customHeight="1">
      <c r="A21" s="3" t="inlineStr">
        <is>
          <t>• O IMPOSTO É UMA ALÍQUOTA ÚNICA SOBRE O EBITDA. Não há depreciação, ágio, JCP nem prejuízo fiscal acumulado. Para uma holding com dezenas de SPEs em regimes distintos, é uma simplificação forte — e é também o input mais perigoso do arquivo, pelo motivo descrito no item seguinte.</t>
        </is>
      </c>
    </row>
    <row r="22">
      <c r="A22" s="2" t="inlineStr">
        <is>
          <t>O que a montagem do modelo revelou</t>
        </is>
      </c>
    </row>
    <row r="24" ht="15" customHeight="1">
      <c r="A24" s="3" t="inlineStr">
        <is>
          <t>Vale registrar, porque muda como se lê o resultado.</t>
        </is>
      </c>
    </row>
    <row r="25" ht="105" customHeight="1">
      <c r="A25" s="3" t="inlineStr">
        <is>
          <t>• A ALÍQUOTA EFETIVA DOMINA TUDO. A primeira versão usava 20% do EBITDA, que parecia prudente. Com ela o preço-alvo caía cerca de 40% E, pior, cada real de capex novo passava a destruir valor: aumentar o programa de investimentos reduzia o preço-alvo. Isso não descreve uma companhia que compõe valor arrematando lote atrás de lote há décadas — era sinal de erro, não de conservadorismo. A alíquota correta é bem menor: as SPEs de transmissão apuram em lucro presumido (imposto ≈ 3–4% da receita bruta) e boa parte do portfólio tem redução de IR por SUDAM/SUDENE. Daí o padrão de 10%. Se você mexer neste input, confira sempre se a expansão continua criando valor — é o melhor teste de sanidade do arquivo.</t>
        </is>
      </c>
    </row>
    <row r="26" ht="90" customHeight="1">
      <c r="A26" s="3" t="inlineStr">
        <is>
          <t>• O MODELO NÃO REPRODUZ O PREÇO DE MERCADO, e não se deve forçá-lo a isso. Com as premissas padrão o DCF dá cerca de R$ 21/unit contra uma cotação de R$ 33,75, e a TIR real implícita fica pouco acima da NTN-B. As linhas "Gap a explicar" na aba Valuation medem exatamente essa diferença. Ela é a pergunta de investimento, não um defeito a ser calibrado: o mercado está pagando por renovação de concessões, leilões além de 2045 ou um custo de capital menor do que os 11,5% reais assumidos aqui. A leitura mais robusta do arquivo é a TIR real implícita, não o preço-alvo — ela não depende de escolher um Ke.</t>
        </is>
      </c>
    </row>
    <row r="27" ht="60" customHeight="1">
      <c r="A27" s="3" t="inlineStr">
        <is>
          <t>• O MODELO FOI AFERIDO CONTRA TRÊS ÂNCORAS DIVULGADAS, e o resultado está na parte de baixo da aba Consolidado: EBITDA de 2026 a 3,5% do run-rate do 1T26, receita de geração e comercialização a 0,1% da implícita no trimestre, e pico de alavancagem de 3,5x em 2027 contra guidance de 3,9–4,0x em 2028. Recalibre os Inputs se qualquer uma dessas linhas destoar.</t>
        </is>
      </c>
    </row>
    <row r="28" ht="45" customHeight="1">
      <c r="A28" s="3" t="inlineStr">
        <is>
          <t>• OS DADOS DE ORIGEM VÊM DE AGREGADORES E DA IMPRENSA, não dos arquivos da companhia. O acesso direto ao site de RI e aos releases foi bloqueado pela rede na montagem. Confira a aba Dados de origem contra o release oficial antes de usar isto para qualquer coisa que importe.</t>
        </is>
      </c>
    </row>
    <row r="29">
      <c r="A29" s="2" t="inlineStr">
        <is>
          <t>Uso</t>
        </is>
      </c>
    </row>
    <row r="31" ht="45" customHeight="1">
      <c r="A31" s="3" t="inlineStr">
        <is>
          <t>Material de estudo. Não é recomendação de investimento, e os números não foram auditados contra as demonstrações financeiras da companhia. O workbook foi recalculado de ponta a ponta e não contém nenhuma célula de erro, mas isso atesta a aritmética, não as premissas.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6" customWidth="1" min="3" max="3"/>
    <col width="12" customWidth="1" min="4" max="4"/>
    <col width="64" customWidth="1" min="5" max="5"/>
  </cols>
  <sheetData>
    <row r="1">
      <c r="A1" s="1" t="inlineStr">
        <is>
          <t>Dados de origem — números públicos coletados</t>
        </is>
      </c>
    </row>
    <row r="2">
      <c r="A2" s="4" t="inlineStr">
        <is>
          <t>Azul = coletado de fonte pública, com a fonte na última coluna. Não editar sem trocar a fonte. Tudo que a aba Inputs assume a partir daqui é premissa, não dado.</t>
        </is>
      </c>
    </row>
    <row r="4" ht="34" customHeight="1">
      <c r="A4" s="5" t="inlineStr"/>
      <c r="B4" s="5" t="inlineStr">
        <is>
          <t>Item</t>
        </is>
      </c>
      <c r="C4" s="5" t="inlineStr">
        <is>
          <t>Valor</t>
        </is>
      </c>
      <c r="D4" s="5" t="inlineStr">
        <is>
          <t>Unidade</t>
        </is>
      </c>
      <c r="E4" s="5" t="inlineStr">
        <is>
          <t>Fonte</t>
        </is>
      </c>
    </row>
    <row r="5">
      <c r="B5" s="2" t="inlineStr">
        <is>
          <t>MERCADO</t>
        </is>
      </c>
      <c r="C5" s="6" t="n"/>
      <c r="D5" s="6" t="n"/>
      <c r="E5" s="6" t="n"/>
    </row>
    <row r="6">
      <c r="B6" s="7" t="inlineStr">
        <is>
          <t>Cotação ALUP11</t>
        </is>
      </c>
      <c r="C6" s="8" t="n">
        <v>33.75</v>
      </c>
      <c r="D6" s="4" t="inlineStr">
        <is>
          <t>R$/unit</t>
        </is>
      </c>
      <c r="E6" s="9" t="inlineStr">
        <is>
          <t>Cotação de 15-jul-2026 (agregadores de mercado). Atualize antes de usar.</t>
        </is>
      </c>
    </row>
    <row r="7">
      <c r="B7" s="7" t="inlineStr">
        <is>
          <t>Total de ações (ON + PN)</t>
        </is>
      </c>
      <c r="C7" s="10" t="n">
        <v>988880601</v>
      </c>
      <c r="D7" s="4" t="inlineStr">
        <is>
          <t>ações</t>
        </is>
      </c>
      <c r="E7" s="9" t="inlineStr">
        <is>
          <t>Base acionária divulgada em agregadores de mercado, 2026.</t>
        </is>
      </c>
    </row>
    <row r="8">
      <c r="B8" s="7" t="inlineStr">
        <is>
          <t>Ações por unit (1 ON + 2 PN)</t>
        </is>
      </c>
      <c r="C8" s="11" t="n">
        <v>3</v>
      </c>
      <c r="D8" s="4" t="inlineStr">
        <is>
          <t>ações/unit</t>
        </is>
      </c>
      <c r="E8" s="9" t="inlineStr">
        <is>
          <t>Composição da unit ALUP11.</t>
        </is>
      </c>
    </row>
    <row r="9">
      <c r="B9" s="7" t="inlineStr">
        <is>
          <t>Patrimônio líquido</t>
        </is>
      </c>
      <c r="C9" s="12" t="n">
        <v>9290</v>
      </c>
      <c r="D9" s="4" t="inlineStr">
        <is>
          <t>R$ mn</t>
        </is>
      </c>
      <c r="E9" s="9" t="inlineStr">
        <is>
          <t>Balanço mais recente divulgado (2026).</t>
        </is>
      </c>
    </row>
    <row r="10">
      <c r="B10" s="2" t="inlineStr">
        <is>
          <t>RESULTADO 1T26 (regulatório)</t>
        </is>
      </c>
      <c r="C10" s="6" t="n"/>
      <c r="D10" s="6" t="n"/>
      <c r="E10" s="6" t="n"/>
    </row>
    <row r="11">
      <c r="B11" s="7" t="inlineStr">
        <is>
          <t>Receita líquida consolidada 1T26</t>
        </is>
      </c>
      <c r="C11" s="12" t="n">
        <v>996.8</v>
      </c>
      <c r="D11" s="4" t="inlineStr">
        <is>
          <t>R$ mn</t>
        </is>
      </c>
      <c r="E11" s="9" t="inlineStr">
        <is>
          <t>Release 1T26: +16,3% a/a.</t>
        </is>
      </c>
    </row>
    <row r="12">
      <c r="B12" s="7" t="inlineStr">
        <is>
          <t>Receita líquida transmissão 1T26</t>
        </is>
      </c>
      <c r="C12" s="12" t="n">
        <v>739</v>
      </c>
      <c r="D12" s="4" t="inlineStr">
        <is>
          <t>R$ mn</t>
        </is>
      </c>
      <c r="E12" s="9" t="inlineStr">
        <is>
          <t>Release 1T26: +16,4% a/a; TCE, reforços ELTE e TBO.</t>
        </is>
      </c>
    </row>
    <row r="13">
      <c r="B13" s="7" t="inlineStr">
        <is>
          <t>EBITDA regulatório 1T26</t>
        </is>
      </c>
      <c r="C13" s="12" t="n">
        <v>795</v>
      </c>
      <c r="D13" s="4" t="inlineStr">
        <is>
          <t>R$ mn</t>
        </is>
      </c>
      <c r="E13" s="9" t="inlineStr">
        <is>
          <t>Release 1T26: +16% a/a, margem 79,7%.</t>
        </is>
      </c>
    </row>
    <row r="14">
      <c r="B14" s="7" t="inlineStr">
        <is>
          <t>Lucro líquido regulatório 1T26</t>
        </is>
      </c>
      <c r="C14" s="12" t="n">
        <v>148.9</v>
      </c>
      <c r="D14" s="4" t="inlineStr">
        <is>
          <t>R$ mn</t>
        </is>
      </c>
      <c r="E14" s="9" t="inlineStr">
        <is>
          <t>Release 1T26: +6,3% a/a.</t>
        </is>
      </c>
    </row>
    <row r="15">
      <c r="B15" s="7" t="inlineStr">
        <is>
          <t>Lucro líquido regulatório 2025</t>
        </is>
      </c>
      <c r="C15" s="12" t="n">
        <v>737.6</v>
      </c>
      <c r="D15" s="4" t="inlineStr">
        <is>
          <t>R$ mn</t>
        </is>
      </c>
      <c r="E15" s="9" t="inlineStr">
        <is>
          <t>Acumulado 2025: +30,7% vs 2024.</t>
        </is>
      </c>
    </row>
    <row r="16">
      <c r="B16" s="2" t="inlineStr">
        <is>
          <t>DÍVIDA (1T26)</t>
        </is>
      </c>
      <c r="C16" s="6" t="n"/>
      <c r="D16" s="6" t="n"/>
      <c r="E16" s="6" t="n"/>
    </row>
    <row r="17">
      <c r="B17" s="7" t="inlineStr">
        <is>
          <t>Dívida bruta</t>
        </is>
      </c>
      <c r="C17" s="12" t="n">
        <v>14600</v>
      </c>
      <c r="D17" s="4" t="inlineStr">
        <is>
          <t>R$ mn</t>
        </is>
      </c>
      <c r="E17" s="9" t="inlineStr">
        <is>
          <t>Release 1T26.</t>
        </is>
      </c>
    </row>
    <row r="18">
      <c r="B18" s="7" t="inlineStr">
        <is>
          <t>Caixa e aplicações</t>
        </is>
      </c>
      <c r="C18" s="12" t="n">
        <v>5300</v>
      </c>
      <c r="D18" s="4" t="inlineStr">
        <is>
          <t>R$ mn</t>
        </is>
      </c>
      <c r="E18" s="9" t="inlineStr">
        <is>
          <t>Release 1T26.</t>
        </is>
      </c>
    </row>
    <row r="19">
      <c r="B19" s="7" t="inlineStr">
        <is>
          <t>Dívida líquida</t>
        </is>
      </c>
      <c r="C19" s="12" t="n">
        <v>9300</v>
      </c>
      <c r="D19" s="4" t="inlineStr">
        <is>
          <t>R$ mn</t>
        </is>
      </c>
      <c r="E19" s="9" t="inlineStr">
        <is>
          <t>Release 1T26; alavancagem regulatória 3,2x.</t>
        </is>
      </c>
    </row>
    <row r="20">
      <c r="B20" s="2" t="inlineStr">
        <is>
          <t>ATIVOS E PIPELINE</t>
        </is>
      </c>
      <c r="C20" s="6" t="n"/>
      <c r="D20" s="6" t="n"/>
      <c r="E20" s="6" t="n"/>
    </row>
    <row r="21">
      <c r="B21" s="7" t="inlineStr">
        <is>
          <t>Sistemas de transmissão em concessão</t>
        </is>
      </c>
      <c r="C21" s="11" t="n">
        <v>44</v>
      </c>
      <c r="D21" s="4" t="inlineStr">
        <is>
          <t>un</t>
        </is>
      </c>
      <c r="E21" s="9" t="inlineStr">
        <is>
          <t>31 operacionais e 13 em implantação (operação entre 2026 e 2029).</t>
        </is>
      </c>
    </row>
    <row r="22">
      <c r="B22" s="7" t="inlineStr">
        <is>
          <t>Capex a investir até 2029</t>
        </is>
      </c>
      <c r="C22" s="12" t="n">
        <v>9100</v>
      </c>
      <c r="D22" s="4" t="inlineStr">
        <is>
          <t>R$ mn</t>
        </is>
      </c>
      <c r="E22" s="9" t="inlineStr">
        <is>
          <t>Maior ciclo de investimentos da história da companhia.</t>
        </is>
      </c>
    </row>
    <row r="23">
      <c r="B23" s="7" t="inlineStr">
        <is>
          <t>RAP do último lote arrematado</t>
        </is>
      </c>
      <c r="C23" s="12" t="n">
        <v>96.72</v>
      </c>
      <c r="D23" s="4" t="inlineStr">
        <is>
          <t>R$ mn</t>
        </is>
      </c>
      <c r="E23" s="9" t="inlineStr">
        <is>
          <t>Lote 7, Leilão ANEEL 1/2026, 30 anos, energização jun/2031.</t>
        </is>
      </c>
    </row>
    <row r="24">
      <c r="B24" s="7" t="inlineStr">
        <is>
          <t>Capex do último lote arrematado</t>
        </is>
      </c>
      <c r="C24" s="12" t="n">
        <v>1089</v>
      </c>
      <c r="D24" s="4" t="inlineStr">
        <is>
          <t>R$ mn</t>
        </is>
      </c>
      <c r="E24" s="9" t="inlineStr">
        <is>
          <t>Mesmo lote — a razão RAP/capex ancora o yield do pipeline.</t>
        </is>
      </c>
    </row>
    <row r="25">
      <c r="B25" s="7" t="inlineStr">
        <is>
          <t>Capacidade instalada de geração</t>
        </is>
      </c>
      <c r="C25" s="12" t="n">
        <v>798.5</v>
      </c>
      <c r="D25" s="4" t="inlineStr">
        <is>
          <t>MW</t>
        </is>
      </c>
      <c r="E25" s="9" t="inlineStr">
        <is>
          <t>Hidráulica, eólica e solar no Brasil, Colômbia e Peru.</t>
        </is>
      </c>
    </row>
    <row r="27">
      <c r="B27" s="2" t="inlineStr">
        <is>
          <t>Derivados diretos</t>
        </is>
      </c>
      <c r="C27" s="6" t="n"/>
      <c r="D27" s="6" t="n"/>
      <c r="E27" s="6" t="n"/>
    </row>
    <row r="28">
      <c r="B28" s="7" t="inlineStr">
        <is>
          <t>Units equivalentes</t>
        </is>
      </c>
      <c r="C28" s="13">
        <f>AcoesTot/AcoesUnit</f>
        <v/>
      </c>
      <c r="D28" s="4" t="inlineStr">
        <is>
          <t>units</t>
        </is>
      </c>
      <c r="E28" s="9" t="inlineStr">
        <is>
          <t>Total de ações convertido em units.</t>
        </is>
      </c>
    </row>
    <row r="29">
      <c r="B29" s="7" t="inlineStr">
        <is>
          <t>Valor de mercado</t>
        </is>
      </c>
      <c r="C29" s="14">
        <f>Units*PxUnit/1000000</f>
        <v/>
      </c>
      <c r="D29" s="4" t="inlineStr">
        <is>
          <t>R$ mn</t>
        </is>
      </c>
      <c r="E29" s="9" t="inlineStr">
        <is>
          <t>Units × cotação.</t>
        </is>
      </c>
    </row>
    <row r="30">
      <c r="B30" s="7" t="inlineStr">
        <is>
          <t>Firm value (mercado + dívida líquida)</t>
        </is>
      </c>
      <c r="C30" s="14">
        <f>MktCap+DivLiq0</f>
        <v/>
      </c>
      <c r="D30" s="4" t="inlineStr">
        <is>
          <t>R$ mn</t>
        </is>
      </c>
      <c r="E30" s="9" t="inlineStr">
        <is>
          <t>Referência de entrada do DCF.</t>
        </is>
      </c>
    </row>
    <row r="31">
      <c r="B31" s="7" t="inlineStr">
        <is>
          <t>Yield de RAP sobre capex (último leilão)</t>
        </is>
      </c>
      <c r="C31" s="15">
        <f>RapLote/CapexLote</f>
        <v/>
      </c>
      <c r="D31" s="4" t="inlineStr">
        <is>
          <t>%</t>
        </is>
      </c>
      <c r="E31" s="9" t="inlineStr">
        <is>
          <t>Âncora empírica para a RAP do pipeline.</t>
        </is>
      </c>
    </row>
    <row r="32">
      <c r="B32" s="7" t="inlineStr">
        <is>
          <t>Receita líquida transmissão anualizada</t>
        </is>
      </c>
      <c r="C32" s="14">
        <f>RecTr1T*4</f>
        <v/>
      </c>
      <c r="D32" s="4" t="inlineStr">
        <is>
          <t>R$ mn</t>
        </is>
      </c>
      <c r="E32" s="9" t="inlineStr">
        <is>
          <t>1T26 × 4. Ignora sazonalidade e as entradas de 2026.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4" customWidth="1" min="3" max="3"/>
    <col width="11" customWidth="1" min="4" max="4"/>
    <col width="70" customWidth="1" min="5" max="5"/>
  </cols>
  <sheetData>
    <row r="1">
      <c r="A1" s="1" t="inlineStr">
        <is>
          <t>Inputs — todo o modelo é dirigido por esta aba</t>
        </is>
      </c>
    </row>
    <row r="2">
      <c r="A2" s="4" t="inlineStr">
        <is>
          <t>Edite apenas as células AMARELAS. Todas as demais abas recalculam sozinhas. O modelo é integralmente REAL (deflacionado por IPCA), coerente com a indexação da RAP.</t>
        </is>
      </c>
    </row>
    <row r="4">
      <c r="B4" s="2" t="inlineStr">
        <is>
          <t>DATA-BASE E DESCONTO</t>
        </is>
      </c>
      <c r="C4" s="6" t="n"/>
      <c r="D4" s="6" t="n"/>
      <c r="E4" s="6" t="n"/>
    </row>
    <row r="5">
      <c r="B5" s="7" t="inlineStr">
        <is>
          <t>Ano-base da avaliação</t>
        </is>
      </c>
      <c r="C5" s="16" t="n">
        <v>2026</v>
      </c>
      <c r="E5" s="9" t="inlineStr">
        <is>
          <t>Primeiro ano projetado. O fluxo desse ano é descontado a meio período (t = 0,5).</t>
        </is>
      </c>
    </row>
    <row r="6">
      <c r="B6" s="7" t="inlineStr">
        <is>
          <t>NTN-B 10 anos (juro real)</t>
        </is>
      </c>
      <c r="C6" s="17" t="n">
        <v>0.07000000000000001</v>
      </c>
      <c r="E6" s="9" t="inlineStr">
        <is>
          <t>Taxa livre de risco real. Como a RAP é indexada ao IPCA, o desconto é real e comparável ao título.</t>
        </is>
      </c>
    </row>
    <row r="7">
      <c r="B7" s="7" t="inlineStr">
        <is>
          <t>Prêmio de risco de equity (real)</t>
        </is>
      </c>
      <c r="C7" s="17" t="n">
        <v>0.045</v>
      </c>
      <c r="E7" s="9" t="inlineStr">
        <is>
          <t>Prêmio exigido sobre a NTN-B. Transmissão é o ativo de menor beta do setor; 4–5 p.p. é a faixa usual.</t>
        </is>
      </c>
    </row>
    <row r="8">
      <c r="B8" s="7" t="inlineStr">
        <is>
          <t>Custo real da dívida</t>
        </is>
      </c>
      <c r="C8" s="17" t="n">
        <v>0.055</v>
      </c>
      <c r="E8" s="9" t="inlineStr">
        <is>
          <t>Custo médio da dívida deflacionado. Alimenta a despesa de juros do fluxo ao acionista.</t>
        </is>
      </c>
    </row>
    <row r="9">
      <c r="B9" s="7" t="inlineStr">
        <is>
          <t>Inflação de longo prazo (IPCA)</t>
        </is>
      </c>
      <c r="C9" s="17" t="n">
        <v>0.04</v>
      </c>
      <c r="E9" s="9" t="inlineStr">
        <is>
          <t>Só converte o resultado real em nominal na aba Valuation. Não afeta preço-alvo nem TIR real.</t>
        </is>
      </c>
    </row>
    <row r="11">
      <c r="B11" s="2" t="inlineStr">
        <is>
          <t>TRANSMISSÃO — BASE OPERACIONAL</t>
        </is>
      </c>
      <c r="C11" s="6" t="n"/>
      <c r="D11" s="6" t="n"/>
      <c r="E11" s="6" t="n"/>
    </row>
    <row r="12">
      <c r="B12" s="7" t="inlineStr">
        <is>
          <t>Deduções sobre a RAP</t>
        </is>
      </c>
      <c r="C12" s="17" t="n">
        <v>0.13</v>
      </c>
      <c r="E12" s="9" t="inlineStr">
        <is>
          <t>PIS/COFINS, P&amp;D, TFSEE e encargos. Converte RAP bruta em receita líquida — e vice-versa, que é como a RAP base é reconstruída a partir da receita divulgada.</t>
        </is>
      </c>
    </row>
    <row r="13">
      <c r="B13" s="7" t="inlineStr">
        <is>
          <t>O&amp;M / custos operacionais (% da RAP)</t>
        </is>
      </c>
      <c r="C13" s="17" t="n">
        <v>0.12</v>
      </c>
      <c r="E13" s="9" t="inlineStr">
        <is>
          <t>Custo gerencial de operar as linhas. A margem EBITDA implícita é conferida na aba Transmissão.</t>
        </is>
      </c>
    </row>
    <row r="14">
      <c r="B14" s="7" t="inlineStr">
        <is>
          <t>Erosão real anual da RAP</t>
        </is>
      </c>
      <c r="C14" s="17" t="n">
        <v>0.005</v>
      </c>
      <c r="E14" s="9" t="inlineStr">
        <is>
          <t>Captura de forma reduzida as revisões tarifárias periódicas e o degrau de RAP na metade da concessão. Zere para uma RAP real perfeitamente plana.</t>
        </is>
      </c>
    </row>
    <row r="15">
      <c r="B15" s="7" t="inlineStr">
        <is>
          <t>Início dos vencimentos de concessão</t>
        </is>
      </c>
      <c r="C15" s="16" t="n">
        <v>2042</v>
      </c>
      <c r="E15" s="9" t="inlineStr">
        <is>
          <t>Ano em que a RAP da base operacional começa a expirar.</t>
        </is>
      </c>
    </row>
    <row r="16">
      <c r="B16" s="7" t="inlineStr">
        <is>
          <t>Fim dos vencimentos de concessão</t>
        </is>
      </c>
      <c r="C16" s="16" t="n">
        <v>2055</v>
      </c>
      <c r="E16" s="9" t="inlineStr">
        <is>
          <t>Ano em que a última concessão da base atual expira. Entre os dois anos a RAP decai linearmente até zero. É a hipótese mais grosseira do modelo — ver Read me.</t>
        </is>
      </c>
    </row>
    <row r="17">
      <c r="B17" s="7" t="inlineStr">
        <is>
          <t>Capex de manutenção (% da RAP)</t>
        </is>
      </c>
      <c r="C17" s="17" t="n">
        <v>0.03</v>
      </c>
      <c r="E17" s="9" t="inlineStr">
        <is>
          <t>Investimento recorrente para manter os ativos, fora do capex de expansão.</t>
        </is>
      </c>
    </row>
    <row r="19">
      <c r="B19" s="2" t="inlineStr">
        <is>
          <t>TRANSMISSÃO — PIPELINE</t>
        </is>
      </c>
      <c r="C19" s="6" t="n"/>
      <c r="D19" s="6" t="n"/>
      <c r="E19" s="6" t="n"/>
    </row>
    <row r="20">
      <c r="B20" s="7" t="inlineStr">
        <is>
          <t>Eficiência de capex vs. referência ANEEL</t>
        </is>
      </c>
      <c r="C20" s="17" t="n">
        <v>0.8</v>
      </c>
      <c r="E20" s="9" t="inlineStr">
        <is>
          <t>Quanto a companhia efetivamente gasta para cada real do capex de referência do leilão. Construir abaixo da referência é de onde vem boa parte do retorno em transmissão. 0,80 = constrói 20% abaixo. Em 100% o projeto rende apenas o yield nominal do leilão e a expansão vira destruição de valor.</t>
        </is>
      </c>
    </row>
    <row r="21">
      <c r="B21" s="7" t="inlineStr">
        <is>
          <t>Yield de RAP sobre o capex novo</t>
        </is>
      </c>
      <c r="C21" s="15">
        <f>YieldLeilao/EficCapex</f>
        <v/>
      </c>
      <c r="E21" s="9" t="inlineStr">
        <is>
          <t>RAP por real efetivamente investido. Sai do último leilão (RAP/capex de referência do Lote 7) corrigido pela eficiência acima. Sobrescreva com um número fixo para testar outros leilões.</t>
        </is>
      </c>
    </row>
    <row r="22">
      <c r="B22" s="7" t="inlineStr">
        <is>
          <t>Defasagem capex → RAP (anos)</t>
        </is>
      </c>
      <c r="C22" s="16" t="n">
        <v>2</v>
      </c>
      <c r="E22" s="9" t="inlineStr">
        <is>
          <t>Quantos anos depois do desembolso a RAP começa a ser recebida. Reflete o prazo de construção.</t>
        </is>
      </c>
    </row>
    <row r="23">
      <c r="B23" s="7" t="inlineStr">
        <is>
          <t>Capex 2026 (% do total)</t>
        </is>
      </c>
      <c r="C23" s="18" t="n">
        <v>0.3</v>
      </c>
      <c r="E23" s="9" t="inlineStr">
        <is>
          <t>Distribuição dos R$ 9,1 bi entre 2026 e 2029. A soma dos quatro deve dar 100%.</t>
        </is>
      </c>
    </row>
    <row r="24">
      <c r="B24" s="7" t="inlineStr">
        <is>
          <t>Capex 2027 (% do total)</t>
        </is>
      </c>
      <c r="C24" s="18" t="n">
        <v>0.3</v>
      </c>
      <c r="E24" s="9" t="inlineStr"/>
    </row>
    <row r="25">
      <c r="B25" s="7" t="inlineStr">
        <is>
          <t>Capex 2028 (% do total)</t>
        </is>
      </c>
      <c r="C25" s="18" t="n">
        <v>0.25</v>
      </c>
      <c r="E25" s="9" t="inlineStr"/>
    </row>
    <row r="26">
      <c r="B26" s="7" t="inlineStr">
        <is>
          <t>Capex 2029 (% do total)</t>
        </is>
      </c>
      <c r="C26" s="18" t="n">
        <v>0.15</v>
      </c>
      <c r="E26" s="9" t="inlineStr"/>
    </row>
    <row r="27">
      <c r="B27" s="7" t="inlineStr">
        <is>
          <t>Soma do cronograma de capex</t>
        </is>
      </c>
      <c r="C27" s="19">
        <f>CapexA+CapexB+CapexC+CapexD</f>
        <v/>
      </c>
      <c r="E27" s="9" t="inlineStr">
        <is>
          <t>Confira: precisa ser 100,0%.</t>
        </is>
      </c>
    </row>
    <row r="28">
      <c r="B28" s="7" t="inlineStr">
        <is>
          <t>Prazo das concessões novas (anos)</t>
        </is>
      </c>
      <c r="C28" s="16" t="n">
        <v>30</v>
      </c>
      <c r="E28" s="9" t="inlineStr">
        <is>
          <t>Concessões de 30 anos a partir da energização. Cada safra de capex tem vida própria.</t>
        </is>
      </c>
    </row>
    <row r="29">
      <c r="B29" s="7" t="inlineStr">
        <is>
          <t>Último ano de novos leilões</t>
        </is>
      </c>
      <c r="C29" s="16" t="n">
        <v>2045</v>
      </c>
      <c r="E29" s="9" t="inlineStr">
        <is>
          <t>Até quando a companhia segue arrematando. O horizonte vai a 2080 justamente para que a última safra de capex complete seus 30 anos dentro do modelo — assim o valor terminal é zero de verdade, e não uma perpetuidade escondendo o resultado.</t>
        </is>
      </c>
    </row>
    <row r="30">
      <c r="B30" s="7" t="inlineStr">
        <is>
          <t>Capex recorrente pós-2029 (R$ mn/ano)</t>
        </is>
      </c>
      <c r="C30" s="20" t="n">
        <v>800</v>
      </c>
      <c r="E30" s="9" t="inlineStr">
        <is>
          <t>Quanto a companhia continua investindo em novos leilões depois do ciclo atual. Zerar equivale a supor que a Alupar para de crescer em 2029 e vira uma carteira em run-off — o que derruba o valor e não descreve uma companhia que arremata lote atrás de lote. É a premissa de crescimento do modelo.</t>
        </is>
      </c>
    </row>
    <row r="32">
      <c r="B32" s="2" t="inlineStr">
        <is>
          <t>GERAÇÃO</t>
        </is>
      </c>
      <c r="C32" s="6" t="n"/>
      <c r="D32" s="6" t="n"/>
      <c r="E32" s="6" t="n"/>
    </row>
    <row r="33">
      <c r="B33" s="7" t="inlineStr">
        <is>
          <t>Energia assegurada vendida (MW médio)</t>
        </is>
      </c>
      <c r="C33" s="20" t="n">
        <v>430</v>
      </c>
      <c r="E33" s="9" t="inlineStr">
        <is>
          <t>Garantia física contratada, bem abaixo dos MW instalados. Premissa — a companhia não abre o número consolidado nos materiais consultados.</t>
        </is>
      </c>
    </row>
    <row r="34">
      <c r="B34" s="7" t="inlineStr">
        <is>
          <t>Preço real da energia (R$/MWh)</t>
        </is>
      </c>
      <c r="C34" s="20" t="n">
        <v>260</v>
      </c>
      <c r="E34" s="9" t="inlineStr">
        <is>
          <t>Preço médio de contratação em termos reais, já considerando renovação de PPAs. Junto com o MW médio, foi calibrado para reproduzir a receita de geração implícita no 1T26 — ver a aferição na aba Consolidado.</t>
        </is>
      </c>
    </row>
    <row r="35">
      <c r="B35" s="7" t="inlineStr">
        <is>
          <t>Deduções sobre receita de geração</t>
        </is>
      </c>
      <c r="C35" s="17" t="n">
        <v>0.15</v>
      </c>
      <c r="E35" s="9" t="inlineStr">
        <is>
          <t>PIS/COFINS e encargos setoriais.</t>
        </is>
      </c>
    </row>
    <row r="36">
      <c r="B36" s="7" t="inlineStr">
        <is>
          <t>Opex de geração (% da receita líquida)</t>
        </is>
      </c>
      <c r="C36" s="17" t="n">
        <v>0.25</v>
      </c>
      <c r="E36" s="9" t="inlineStr">
        <is>
          <t>O&amp;M, seguros e encargos de uso da rede.</t>
        </is>
      </c>
    </row>
    <row r="37">
      <c r="B37" s="7" t="inlineStr">
        <is>
          <t>Receita de comercialização (R$ mn/ano)</t>
        </is>
      </c>
      <c r="C37" s="20" t="n">
        <v>200</v>
      </c>
      <c r="E37" s="9" t="inlineStr">
        <is>
          <t>A Alup, comercializadora do grupo. Entra separada porque gira volume com margem fina — jogá-la dentro da energia assegurada inflaria o MW médio e, com ele, a margem da geração.</t>
        </is>
      </c>
    </row>
    <row r="38">
      <c r="B38" s="7" t="inlineStr">
        <is>
          <t>Margem EBITDA da comercialização</t>
        </is>
      </c>
      <c r="C38" s="17" t="n">
        <v>0.08</v>
      </c>
      <c r="E38" s="9" t="inlineStr">
        <is>
          <t>Margem típica de trading de energia. Baixa por natureza.</t>
        </is>
      </c>
    </row>
    <row r="39">
      <c r="B39" s="7" t="inlineStr">
        <is>
          <t>Ano final das outorgas de geração</t>
        </is>
      </c>
      <c r="C39" s="16" t="n">
        <v>2045</v>
      </c>
      <c r="E39" s="9" t="inlineStr">
        <is>
          <t>Fim médio das outorgas. Depois disso a geração sai do fluxo — renovação vira upside não modelado.</t>
        </is>
      </c>
    </row>
    <row r="41">
      <c r="B41" s="2" t="inlineStr">
        <is>
          <t>HOLDING, DÍVIDA E IMPOSTOS</t>
        </is>
      </c>
      <c r="C41" s="6" t="n"/>
      <c r="D41" s="6" t="n"/>
      <c r="E41" s="6" t="n"/>
    </row>
    <row r="42">
      <c r="B42" s="7" t="inlineStr">
        <is>
          <t>Custos de holding (R$ mn/ano, real)</t>
        </is>
      </c>
      <c r="C42" s="20" t="n">
        <v>120</v>
      </c>
      <c r="E42" s="9" t="inlineStr">
        <is>
          <t>Estrutura corporativa, fora das SPEs.</t>
        </is>
      </c>
    </row>
    <row r="43">
      <c r="B43" s="7" t="inlineStr">
        <is>
          <t>Carga tributária efetiva (% do EBITDA)</t>
        </is>
      </c>
      <c r="C43" s="17" t="n">
        <v>0.1</v>
      </c>
      <c r="E43" s="9" t="inlineStr">
        <is>
          <t>IR/CSLL de caixa. Muito abaixo dos 34% nominais: as SPEs de transmissão apuram em lucro presumido, em que o imposto sai como ~3–4% da receita bruta, e boa parte do portfólio tem redução de IR por SUDAM/SUDENE. Contra um EBITDA da ordem de R$ 3 bi, isso dá algo entre 5% e 10%. Colocar os 20% que pareciam prudentes derruba o valor em quase 40% e faz cada novo leilão destruir valor — o que não descreve esta companhia.</t>
        </is>
      </c>
    </row>
    <row r="44">
      <c r="B44" s="7" t="inlineStr">
        <is>
          <t>Minoritários (% do fluxo operacional)</t>
        </is>
      </c>
      <c r="C44" s="17" t="n">
        <v>0.12</v>
      </c>
      <c r="E44" s="9" t="inlineStr">
        <is>
          <t>A Alupar consolida SPEs com sócios. Esta fatia do fluxo não pertence ao acionista de ALUP11.</t>
        </is>
      </c>
    </row>
    <row r="45">
      <c r="B45" s="7" t="inlineStr">
        <is>
          <t>% do capex financiado com dívida</t>
        </is>
      </c>
      <c r="C45" s="17" t="n">
        <v>0.6</v>
      </c>
      <c r="E45" s="9" t="inlineStr">
        <is>
          <t>O restante vem do caixa gerado.</t>
        </is>
      </c>
    </row>
    <row r="46">
      <c r="B46" s="7" t="inlineStr">
        <is>
          <t>Prazo médio de amortização (anos)</t>
        </is>
      </c>
      <c r="C46" s="16" t="n">
        <v>10</v>
      </c>
      <c r="E46" s="9" t="inlineStr">
        <is>
          <t>Amortização linear sobre o saldo do ano anterior.</t>
        </is>
      </c>
    </row>
    <row r="47">
      <c r="B47" s="7" t="inlineStr">
        <is>
          <t>Valor terminal ao acionista (R$ mn, real)</t>
        </is>
      </c>
      <c r="C47" s="20" t="n">
        <v>0</v>
      </c>
      <c r="E47" s="9" t="inlineStr">
        <is>
          <t>Zero por construção: as concessões expiram dentro do horizonte. Preencha para precificar renovação ou novos leilões após 2029 — é aqui que entra a opcionalidade de crescimento perpétuo.</t>
        </is>
      </c>
    </row>
    <row r="49">
      <c r="B49" s="21" t="inlineStr">
        <is>
          <t>Ke real (NTN-B + prêmio)</t>
        </is>
      </c>
      <c r="C49" s="22">
        <f>NTNB+ERP</f>
        <v/>
      </c>
      <c r="E49" s="4" t="inlineStr">
        <is>
          <t>Taxa usada para descontar todo o fluxo ao acionista. Real, porque o fluxo é real.</t>
        </is>
      </c>
    </row>
    <row r="50">
      <c r="B50" s="7" t="inlineStr">
        <is>
          <t>Ke nominal implícito</t>
        </is>
      </c>
      <c r="C50" s="15">
        <f>(1+Ke)*(1+Infl)-1</f>
        <v/>
      </c>
      <c r="E50" s="4" t="inlineStr">
        <is>
          <t>Apenas informativo — nada no modelo usa esta taxa.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3" customWidth="1" min="4" max="4"/>
    <col width="12" customWidth="1" min="5" max="5"/>
    <col width="14" customWidth="1" min="6" max="6"/>
    <col width="12" customWidth="1" min="7" max="7"/>
    <col width="11" customWidth="1" min="8" max="8"/>
    <col width="11" customWidth="1" min="9" max="9"/>
    <col width="12" customWidth="1" min="10" max="10"/>
    <col width="10" customWidth="1" min="11" max="11"/>
    <col width="11" customWidth="1" min="12" max="12"/>
    <col width="11" customWidth="1" min="13" max="13"/>
    <col width="12" customWidth="1" min="14" max="14"/>
  </cols>
  <sheetData>
    <row r="1">
      <c r="A1" s="1" t="inlineStr">
        <is>
          <t>Transmissão — RAP real, base operacional e pipeline (R$ mn, moeda de hoje)</t>
        </is>
      </c>
    </row>
    <row r="2">
      <c r="A2" s="4" t="inlineStr">
        <is>
          <t>A RAP da base operacional é reconstruída a partir da receita líquida divulgada no 1T26; a RAP do pipeline é o capex acumulado (com defasagem) multiplicado pelo yield de leilão.</t>
        </is>
      </c>
    </row>
    <row r="4" ht="34" customHeight="1">
      <c r="A4" s="5" t="inlineStr">
        <is>
          <t>Ano</t>
        </is>
      </c>
      <c r="B4" s="5" t="inlineStr">
        <is>
          <t>Capex expansão</t>
        </is>
      </c>
      <c r="C4" s="5" t="inlineStr">
        <is>
          <t>Capex acumulado</t>
        </is>
      </c>
      <c r="D4" s="5" t="inlineStr">
        <is>
          <t>Capex de safras vivas</t>
        </is>
      </c>
      <c r="E4" s="5" t="inlineStr">
        <is>
          <t>RAP pipeline</t>
        </is>
      </c>
      <c r="F4" s="5" t="inlineStr">
        <is>
          <t>RAP base operacional</t>
        </is>
      </c>
      <c r="G4" s="5" t="inlineStr">
        <is>
          <t>Fator de vencimento</t>
        </is>
      </c>
      <c r="H4" s="5" t="inlineStr">
        <is>
          <t>RAP total</t>
        </is>
      </c>
      <c r="I4" s="5" t="inlineStr">
        <is>
          <t>Deduções</t>
        </is>
      </c>
      <c r="J4" s="5" t="inlineStr">
        <is>
          <t>Receita líquida</t>
        </is>
      </c>
      <c r="K4" s="5" t="inlineStr">
        <is>
          <t>O&amp;M</t>
        </is>
      </c>
      <c r="L4" s="5" t="inlineStr">
        <is>
          <t>EBITDA</t>
        </is>
      </c>
      <c r="M4" s="5" t="inlineStr">
        <is>
          <t>Margem EBITDA</t>
        </is>
      </c>
      <c r="N4" s="5" t="inlineStr">
        <is>
          <t>Capex manutenção</t>
        </is>
      </c>
    </row>
    <row r="5">
      <c r="A5" s="23" t="n">
        <v>2026</v>
      </c>
      <c r="B5" s="24">
        <f>CapexTot*CapexA</f>
        <v/>
      </c>
      <c r="C5" s="24">
        <f>B5</f>
        <v/>
      </c>
      <c r="D5" s="24">
        <f>SUMPRODUCT(($A$5:$A$59&lt;=A5-Lag)*($A$5:$A$59&gt;A5-Lag-PrazoNovo)*$B$5:$B$59)</f>
        <v/>
      </c>
      <c r="E5" s="24">
        <f>D5*YieldRAP*(1-Erosao)^(A5-AnoBase)</f>
        <v/>
      </c>
      <c r="F5" s="24">
        <f>RecTrAnual/(1-DedTr)*(1-Erosao)^(A5-AnoBase)</f>
        <v/>
      </c>
      <c r="G5" s="25">
        <f>IF(A5&lt;AnoIniVenc,1,MAX(0,1-(A5-AnoIniVenc+1)/(AnoFimVenc-AnoIniVenc+1)))</f>
        <v/>
      </c>
      <c r="H5" s="24">
        <f>F5*G5+E5</f>
        <v/>
      </c>
      <c r="I5" s="24">
        <f>-H5*DedTr</f>
        <v/>
      </c>
      <c r="J5" s="24">
        <f>H5+I5</f>
        <v/>
      </c>
      <c r="K5" s="24">
        <f>-H5*OMTr</f>
        <v/>
      </c>
      <c r="L5" s="26">
        <f>J5+K5</f>
        <v/>
      </c>
      <c r="M5" s="25">
        <f>IFERROR(L5/J5,"")</f>
        <v/>
      </c>
      <c r="N5" s="24">
        <f>-H5*CapexMan</f>
        <v/>
      </c>
    </row>
    <row r="6">
      <c r="A6" s="23" t="n">
        <v>2027</v>
      </c>
      <c r="B6" s="24">
        <f>CapexTot*CapexB</f>
        <v/>
      </c>
      <c r="C6" s="24">
        <f>C5+B6</f>
        <v/>
      </c>
      <c r="D6" s="24">
        <f>SUMPRODUCT(($A$5:$A$59&lt;=A6-Lag)*($A$5:$A$59&gt;A6-Lag-PrazoNovo)*$B$5:$B$59)</f>
        <v/>
      </c>
      <c r="E6" s="24">
        <f>D6*YieldRAP*(1-Erosao)^(A6-AnoBase)</f>
        <v/>
      </c>
      <c r="F6" s="24">
        <f>RecTrAnual/(1-DedTr)*(1-Erosao)^(A6-AnoBase)</f>
        <v/>
      </c>
      <c r="G6" s="25">
        <f>IF(A6&lt;AnoIniVenc,1,MAX(0,1-(A6-AnoIniVenc+1)/(AnoFimVenc-AnoIniVenc+1)))</f>
        <v/>
      </c>
      <c r="H6" s="24">
        <f>F6*G6+E6</f>
        <v/>
      </c>
      <c r="I6" s="24">
        <f>-H6*DedTr</f>
        <v/>
      </c>
      <c r="J6" s="24">
        <f>H6+I6</f>
        <v/>
      </c>
      <c r="K6" s="24">
        <f>-H6*OMTr</f>
        <v/>
      </c>
      <c r="L6" s="26">
        <f>J6+K6</f>
        <v/>
      </c>
      <c r="M6" s="25">
        <f>IFERROR(L6/J6,"")</f>
        <v/>
      </c>
      <c r="N6" s="24">
        <f>-H6*CapexMan</f>
        <v/>
      </c>
    </row>
    <row r="7">
      <c r="A7" s="23" t="n">
        <v>2028</v>
      </c>
      <c r="B7" s="24">
        <f>CapexTot*CapexC</f>
        <v/>
      </c>
      <c r="C7" s="24">
        <f>C6+B7</f>
        <v/>
      </c>
      <c r="D7" s="24">
        <f>SUMPRODUCT(($A$5:$A$59&lt;=A7-Lag)*($A$5:$A$59&gt;A7-Lag-PrazoNovo)*$B$5:$B$59)</f>
        <v/>
      </c>
      <c r="E7" s="24">
        <f>D7*YieldRAP*(1-Erosao)^(A7-AnoBase)</f>
        <v/>
      </c>
      <c r="F7" s="24">
        <f>RecTrAnual/(1-DedTr)*(1-Erosao)^(A7-AnoBase)</f>
        <v/>
      </c>
      <c r="G7" s="25">
        <f>IF(A7&lt;AnoIniVenc,1,MAX(0,1-(A7-AnoIniVenc+1)/(AnoFimVenc-AnoIniVenc+1)))</f>
        <v/>
      </c>
      <c r="H7" s="24">
        <f>F7*G7+E7</f>
        <v/>
      </c>
      <c r="I7" s="24">
        <f>-H7*DedTr</f>
        <v/>
      </c>
      <c r="J7" s="24">
        <f>H7+I7</f>
        <v/>
      </c>
      <c r="K7" s="24">
        <f>-H7*OMTr</f>
        <v/>
      </c>
      <c r="L7" s="26">
        <f>J7+K7</f>
        <v/>
      </c>
      <c r="M7" s="25">
        <f>IFERROR(L7/J7,"")</f>
        <v/>
      </c>
      <c r="N7" s="24">
        <f>-H7*CapexMan</f>
        <v/>
      </c>
    </row>
    <row r="8">
      <c r="A8" s="23" t="n">
        <v>2029</v>
      </c>
      <c r="B8" s="24">
        <f>CapexTot*CapexD</f>
        <v/>
      </c>
      <c r="C8" s="24">
        <f>C7+B8</f>
        <v/>
      </c>
      <c r="D8" s="24">
        <f>SUMPRODUCT(($A$5:$A$59&lt;=A8-Lag)*($A$5:$A$59&gt;A8-Lag-PrazoNovo)*$B$5:$B$59)</f>
        <v/>
      </c>
      <c r="E8" s="24">
        <f>D8*YieldRAP*(1-Erosao)^(A8-AnoBase)</f>
        <v/>
      </c>
      <c r="F8" s="24">
        <f>RecTrAnual/(1-DedTr)*(1-Erosao)^(A8-AnoBase)</f>
        <v/>
      </c>
      <c r="G8" s="25">
        <f>IF(A8&lt;AnoIniVenc,1,MAX(0,1-(A8-AnoIniVenc+1)/(AnoFimVenc-AnoIniVenc+1)))</f>
        <v/>
      </c>
      <c r="H8" s="24">
        <f>F8*G8+E8</f>
        <v/>
      </c>
      <c r="I8" s="24">
        <f>-H8*DedTr</f>
        <v/>
      </c>
      <c r="J8" s="24">
        <f>H8+I8</f>
        <v/>
      </c>
      <c r="K8" s="24">
        <f>-H8*OMTr</f>
        <v/>
      </c>
      <c r="L8" s="26">
        <f>J8+K8</f>
        <v/>
      </c>
      <c r="M8" s="25">
        <f>IFERROR(L8/J8,"")</f>
        <v/>
      </c>
      <c r="N8" s="24">
        <f>-H8*CapexMan</f>
        <v/>
      </c>
    </row>
    <row r="9">
      <c r="A9" s="23" t="n">
        <v>2030</v>
      </c>
      <c r="B9" s="24">
        <f>IF(A9&lt;=AnoUltLeilao,CapexRec,0)</f>
        <v/>
      </c>
      <c r="C9" s="24">
        <f>C8+B9</f>
        <v/>
      </c>
      <c r="D9" s="24">
        <f>SUMPRODUCT(($A$5:$A$59&lt;=A9-Lag)*($A$5:$A$59&gt;A9-Lag-PrazoNovo)*$B$5:$B$59)</f>
        <v/>
      </c>
      <c r="E9" s="24">
        <f>D9*YieldRAP*(1-Erosao)^(A9-AnoBase)</f>
        <v/>
      </c>
      <c r="F9" s="24">
        <f>RecTrAnual/(1-DedTr)*(1-Erosao)^(A9-AnoBase)</f>
        <v/>
      </c>
      <c r="G9" s="25">
        <f>IF(A9&lt;AnoIniVenc,1,MAX(0,1-(A9-AnoIniVenc+1)/(AnoFimVenc-AnoIniVenc+1)))</f>
        <v/>
      </c>
      <c r="H9" s="24">
        <f>F9*G9+E9</f>
        <v/>
      </c>
      <c r="I9" s="24">
        <f>-H9*DedTr</f>
        <v/>
      </c>
      <c r="J9" s="24">
        <f>H9+I9</f>
        <v/>
      </c>
      <c r="K9" s="24">
        <f>-H9*OMTr</f>
        <v/>
      </c>
      <c r="L9" s="26">
        <f>J9+K9</f>
        <v/>
      </c>
      <c r="M9" s="25">
        <f>IFERROR(L9/J9,"")</f>
        <v/>
      </c>
      <c r="N9" s="24">
        <f>-H9*CapexMan</f>
        <v/>
      </c>
    </row>
    <row r="10">
      <c r="A10" s="23" t="n">
        <v>2031</v>
      </c>
      <c r="B10" s="24">
        <f>IF(A10&lt;=AnoUltLeilao,CapexRec,0)</f>
        <v/>
      </c>
      <c r="C10" s="24">
        <f>C9+B10</f>
        <v/>
      </c>
      <c r="D10" s="24">
        <f>SUMPRODUCT(($A$5:$A$59&lt;=A10-Lag)*($A$5:$A$59&gt;A10-Lag-PrazoNovo)*$B$5:$B$59)</f>
        <v/>
      </c>
      <c r="E10" s="24">
        <f>D10*YieldRAP*(1-Erosao)^(A10-AnoBase)</f>
        <v/>
      </c>
      <c r="F10" s="24">
        <f>RecTrAnual/(1-DedTr)*(1-Erosao)^(A10-AnoBase)</f>
        <v/>
      </c>
      <c r="G10" s="25">
        <f>IF(A10&lt;AnoIniVenc,1,MAX(0,1-(A10-AnoIniVenc+1)/(AnoFimVenc-AnoIniVenc+1)))</f>
        <v/>
      </c>
      <c r="H10" s="24">
        <f>F10*G10+E10</f>
        <v/>
      </c>
      <c r="I10" s="24">
        <f>-H10*DedTr</f>
        <v/>
      </c>
      <c r="J10" s="24">
        <f>H10+I10</f>
        <v/>
      </c>
      <c r="K10" s="24">
        <f>-H10*OMTr</f>
        <v/>
      </c>
      <c r="L10" s="26">
        <f>J10+K10</f>
        <v/>
      </c>
      <c r="M10" s="25">
        <f>IFERROR(L10/J10,"")</f>
        <v/>
      </c>
      <c r="N10" s="24">
        <f>-H10*CapexMan</f>
        <v/>
      </c>
    </row>
    <row r="11">
      <c r="A11" s="23" t="n">
        <v>2032</v>
      </c>
      <c r="B11" s="24">
        <f>IF(A11&lt;=AnoUltLeilao,CapexRec,0)</f>
        <v/>
      </c>
      <c r="C11" s="24">
        <f>C10+B11</f>
        <v/>
      </c>
      <c r="D11" s="24">
        <f>SUMPRODUCT(($A$5:$A$59&lt;=A11-Lag)*($A$5:$A$59&gt;A11-Lag-PrazoNovo)*$B$5:$B$59)</f>
        <v/>
      </c>
      <c r="E11" s="24">
        <f>D11*YieldRAP*(1-Erosao)^(A11-AnoBase)</f>
        <v/>
      </c>
      <c r="F11" s="24">
        <f>RecTrAnual/(1-DedTr)*(1-Erosao)^(A11-AnoBase)</f>
        <v/>
      </c>
      <c r="G11" s="25">
        <f>IF(A11&lt;AnoIniVenc,1,MAX(0,1-(A11-AnoIniVenc+1)/(AnoFimVenc-AnoIniVenc+1)))</f>
        <v/>
      </c>
      <c r="H11" s="24">
        <f>F11*G11+E11</f>
        <v/>
      </c>
      <c r="I11" s="24">
        <f>-H11*DedTr</f>
        <v/>
      </c>
      <c r="J11" s="24">
        <f>H11+I11</f>
        <v/>
      </c>
      <c r="K11" s="24">
        <f>-H11*OMTr</f>
        <v/>
      </c>
      <c r="L11" s="26">
        <f>J11+K11</f>
        <v/>
      </c>
      <c r="M11" s="25">
        <f>IFERROR(L11/J11,"")</f>
        <v/>
      </c>
      <c r="N11" s="24">
        <f>-H11*CapexMan</f>
        <v/>
      </c>
    </row>
    <row r="12">
      <c r="A12" s="23" t="n">
        <v>2033</v>
      </c>
      <c r="B12" s="24">
        <f>IF(A12&lt;=AnoUltLeilao,CapexRec,0)</f>
        <v/>
      </c>
      <c r="C12" s="24">
        <f>C11+B12</f>
        <v/>
      </c>
      <c r="D12" s="24">
        <f>SUMPRODUCT(($A$5:$A$59&lt;=A12-Lag)*($A$5:$A$59&gt;A12-Lag-PrazoNovo)*$B$5:$B$59)</f>
        <v/>
      </c>
      <c r="E12" s="24">
        <f>D12*YieldRAP*(1-Erosao)^(A12-AnoBase)</f>
        <v/>
      </c>
      <c r="F12" s="24">
        <f>RecTrAnual/(1-DedTr)*(1-Erosao)^(A12-AnoBase)</f>
        <v/>
      </c>
      <c r="G12" s="25">
        <f>IF(A12&lt;AnoIniVenc,1,MAX(0,1-(A12-AnoIniVenc+1)/(AnoFimVenc-AnoIniVenc+1)))</f>
        <v/>
      </c>
      <c r="H12" s="24">
        <f>F12*G12+E12</f>
        <v/>
      </c>
      <c r="I12" s="24">
        <f>-H12*DedTr</f>
        <v/>
      </c>
      <c r="J12" s="24">
        <f>H12+I12</f>
        <v/>
      </c>
      <c r="K12" s="24">
        <f>-H12*OMTr</f>
        <v/>
      </c>
      <c r="L12" s="26">
        <f>J12+K12</f>
        <v/>
      </c>
      <c r="M12" s="25">
        <f>IFERROR(L12/J12,"")</f>
        <v/>
      </c>
      <c r="N12" s="24">
        <f>-H12*CapexMan</f>
        <v/>
      </c>
    </row>
    <row r="13">
      <c r="A13" s="23" t="n">
        <v>2034</v>
      </c>
      <c r="B13" s="24">
        <f>IF(A13&lt;=AnoUltLeilao,CapexRec,0)</f>
        <v/>
      </c>
      <c r="C13" s="24">
        <f>C12+B13</f>
        <v/>
      </c>
      <c r="D13" s="24">
        <f>SUMPRODUCT(($A$5:$A$59&lt;=A13-Lag)*($A$5:$A$59&gt;A13-Lag-PrazoNovo)*$B$5:$B$59)</f>
        <v/>
      </c>
      <c r="E13" s="24">
        <f>D13*YieldRAP*(1-Erosao)^(A13-AnoBase)</f>
        <v/>
      </c>
      <c r="F13" s="24">
        <f>RecTrAnual/(1-DedTr)*(1-Erosao)^(A13-AnoBase)</f>
        <v/>
      </c>
      <c r="G13" s="25">
        <f>IF(A13&lt;AnoIniVenc,1,MAX(0,1-(A13-AnoIniVenc+1)/(AnoFimVenc-AnoIniVenc+1)))</f>
        <v/>
      </c>
      <c r="H13" s="24">
        <f>F13*G13+E13</f>
        <v/>
      </c>
      <c r="I13" s="24">
        <f>-H13*DedTr</f>
        <v/>
      </c>
      <c r="J13" s="24">
        <f>H13+I13</f>
        <v/>
      </c>
      <c r="K13" s="24">
        <f>-H13*OMTr</f>
        <v/>
      </c>
      <c r="L13" s="26">
        <f>J13+K13</f>
        <v/>
      </c>
      <c r="M13" s="25">
        <f>IFERROR(L13/J13,"")</f>
        <v/>
      </c>
      <c r="N13" s="24">
        <f>-H13*CapexMan</f>
        <v/>
      </c>
    </row>
    <row r="14">
      <c r="A14" s="23" t="n">
        <v>2035</v>
      </c>
      <c r="B14" s="24">
        <f>IF(A14&lt;=AnoUltLeilao,CapexRec,0)</f>
        <v/>
      </c>
      <c r="C14" s="24">
        <f>C13+B14</f>
        <v/>
      </c>
      <c r="D14" s="24">
        <f>SUMPRODUCT(($A$5:$A$59&lt;=A14-Lag)*($A$5:$A$59&gt;A14-Lag-PrazoNovo)*$B$5:$B$59)</f>
        <v/>
      </c>
      <c r="E14" s="24">
        <f>D14*YieldRAP*(1-Erosao)^(A14-AnoBase)</f>
        <v/>
      </c>
      <c r="F14" s="24">
        <f>RecTrAnual/(1-DedTr)*(1-Erosao)^(A14-AnoBase)</f>
        <v/>
      </c>
      <c r="G14" s="25">
        <f>IF(A14&lt;AnoIniVenc,1,MAX(0,1-(A14-AnoIniVenc+1)/(AnoFimVenc-AnoIniVenc+1)))</f>
        <v/>
      </c>
      <c r="H14" s="24">
        <f>F14*G14+E14</f>
        <v/>
      </c>
      <c r="I14" s="24">
        <f>-H14*DedTr</f>
        <v/>
      </c>
      <c r="J14" s="24">
        <f>H14+I14</f>
        <v/>
      </c>
      <c r="K14" s="24">
        <f>-H14*OMTr</f>
        <v/>
      </c>
      <c r="L14" s="26">
        <f>J14+K14</f>
        <v/>
      </c>
      <c r="M14" s="25">
        <f>IFERROR(L14/J14,"")</f>
        <v/>
      </c>
      <c r="N14" s="24">
        <f>-H14*CapexMan</f>
        <v/>
      </c>
    </row>
    <row r="15">
      <c r="A15" s="23" t="n">
        <v>2036</v>
      </c>
      <c r="B15" s="24">
        <f>IF(A15&lt;=AnoUltLeilao,CapexRec,0)</f>
        <v/>
      </c>
      <c r="C15" s="24">
        <f>C14+B15</f>
        <v/>
      </c>
      <c r="D15" s="24">
        <f>SUMPRODUCT(($A$5:$A$59&lt;=A15-Lag)*($A$5:$A$59&gt;A15-Lag-PrazoNovo)*$B$5:$B$59)</f>
        <v/>
      </c>
      <c r="E15" s="24">
        <f>D15*YieldRAP*(1-Erosao)^(A15-AnoBase)</f>
        <v/>
      </c>
      <c r="F15" s="24">
        <f>RecTrAnual/(1-DedTr)*(1-Erosao)^(A15-AnoBase)</f>
        <v/>
      </c>
      <c r="G15" s="25">
        <f>IF(A15&lt;AnoIniVenc,1,MAX(0,1-(A15-AnoIniVenc+1)/(AnoFimVenc-AnoIniVenc+1)))</f>
        <v/>
      </c>
      <c r="H15" s="24">
        <f>F15*G15+E15</f>
        <v/>
      </c>
      <c r="I15" s="24">
        <f>-H15*DedTr</f>
        <v/>
      </c>
      <c r="J15" s="24">
        <f>H15+I15</f>
        <v/>
      </c>
      <c r="K15" s="24">
        <f>-H15*OMTr</f>
        <v/>
      </c>
      <c r="L15" s="26">
        <f>J15+K15</f>
        <v/>
      </c>
      <c r="M15" s="25">
        <f>IFERROR(L15/J15,"")</f>
        <v/>
      </c>
      <c r="N15" s="24">
        <f>-H15*CapexMan</f>
        <v/>
      </c>
    </row>
    <row r="16">
      <c r="A16" s="23" t="n">
        <v>2037</v>
      </c>
      <c r="B16" s="24">
        <f>IF(A16&lt;=AnoUltLeilao,CapexRec,0)</f>
        <v/>
      </c>
      <c r="C16" s="24">
        <f>C15+B16</f>
        <v/>
      </c>
      <c r="D16" s="24">
        <f>SUMPRODUCT(($A$5:$A$59&lt;=A16-Lag)*($A$5:$A$59&gt;A16-Lag-PrazoNovo)*$B$5:$B$59)</f>
        <v/>
      </c>
      <c r="E16" s="24">
        <f>D16*YieldRAP*(1-Erosao)^(A16-AnoBase)</f>
        <v/>
      </c>
      <c r="F16" s="24">
        <f>RecTrAnual/(1-DedTr)*(1-Erosao)^(A16-AnoBase)</f>
        <v/>
      </c>
      <c r="G16" s="25">
        <f>IF(A16&lt;AnoIniVenc,1,MAX(0,1-(A16-AnoIniVenc+1)/(AnoFimVenc-AnoIniVenc+1)))</f>
        <v/>
      </c>
      <c r="H16" s="24">
        <f>F16*G16+E16</f>
        <v/>
      </c>
      <c r="I16" s="24">
        <f>-H16*DedTr</f>
        <v/>
      </c>
      <c r="J16" s="24">
        <f>H16+I16</f>
        <v/>
      </c>
      <c r="K16" s="24">
        <f>-H16*OMTr</f>
        <v/>
      </c>
      <c r="L16" s="26">
        <f>J16+K16</f>
        <v/>
      </c>
      <c r="M16" s="25">
        <f>IFERROR(L16/J16,"")</f>
        <v/>
      </c>
      <c r="N16" s="24">
        <f>-H16*CapexMan</f>
        <v/>
      </c>
    </row>
    <row r="17">
      <c r="A17" s="23" t="n">
        <v>2038</v>
      </c>
      <c r="B17" s="24">
        <f>IF(A17&lt;=AnoUltLeilao,CapexRec,0)</f>
        <v/>
      </c>
      <c r="C17" s="24">
        <f>C16+B17</f>
        <v/>
      </c>
      <c r="D17" s="24">
        <f>SUMPRODUCT(($A$5:$A$59&lt;=A17-Lag)*($A$5:$A$59&gt;A17-Lag-PrazoNovo)*$B$5:$B$59)</f>
        <v/>
      </c>
      <c r="E17" s="24">
        <f>D17*YieldRAP*(1-Erosao)^(A17-AnoBase)</f>
        <v/>
      </c>
      <c r="F17" s="24">
        <f>RecTrAnual/(1-DedTr)*(1-Erosao)^(A17-AnoBase)</f>
        <v/>
      </c>
      <c r="G17" s="25">
        <f>IF(A17&lt;AnoIniVenc,1,MAX(0,1-(A17-AnoIniVenc+1)/(AnoFimVenc-AnoIniVenc+1)))</f>
        <v/>
      </c>
      <c r="H17" s="24">
        <f>F17*G17+E17</f>
        <v/>
      </c>
      <c r="I17" s="24">
        <f>-H17*DedTr</f>
        <v/>
      </c>
      <c r="J17" s="24">
        <f>H17+I17</f>
        <v/>
      </c>
      <c r="K17" s="24">
        <f>-H17*OMTr</f>
        <v/>
      </c>
      <c r="L17" s="26">
        <f>J17+K17</f>
        <v/>
      </c>
      <c r="M17" s="25">
        <f>IFERROR(L17/J17,"")</f>
        <v/>
      </c>
      <c r="N17" s="24">
        <f>-H17*CapexMan</f>
        <v/>
      </c>
    </row>
    <row r="18">
      <c r="A18" s="23" t="n">
        <v>2039</v>
      </c>
      <c r="B18" s="24">
        <f>IF(A18&lt;=AnoUltLeilao,CapexRec,0)</f>
        <v/>
      </c>
      <c r="C18" s="24">
        <f>C17+B18</f>
        <v/>
      </c>
      <c r="D18" s="24">
        <f>SUMPRODUCT(($A$5:$A$59&lt;=A18-Lag)*($A$5:$A$59&gt;A18-Lag-PrazoNovo)*$B$5:$B$59)</f>
        <v/>
      </c>
      <c r="E18" s="24">
        <f>D18*YieldRAP*(1-Erosao)^(A18-AnoBase)</f>
        <v/>
      </c>
      <c r="F18" s="24">
        <f>RecTrAnual/(1-DedTr)*(1-Erosao)^(A18-AnoBase)</f>
        <v/>
      </c>
      <c r="G18" s="25">
        <f>IF(A18&lt;AnoIniVenc,1,MAX(0,1-(A18-AnoIniVenc+1)/(AnoFimVenc-AnoIniVenc+1)))</f>
        <v/>
      </c>
      <c r="H18" s="24">
        <f>F18*G18+E18</f>
        <v/>
      </c>
      <c r="I18" s="24">
        <f>-H18*DedTr</f>
        <v/>
      </c>
      <c r="J18" s="24">
        <f>H18+I18</f>
        <v/>
      </c>
      <c r="K18" s="24">
        <f>-H18*OMTr</f>
        <v/>
      </c>
      <c r="L18" s="26">
        <f>J18+K18</f>
        <v/>
      </c>
      <c r="M18" s="25">
        <f>IFERROR(L18/J18,"")</f>
        <v/>
      </c>
      <c r="N18" s="24">
        <f>-H18*CapexMan</f>
        <v/>
      </c>
    </row>
    <row r="19">
      <c r="A19" s="23" t="n">
        <v>2040</v>
      </c>
      <c r="B19" s="24">
        <f>IF(A19&lt;=AnoUltLeilao,CapexRec,0)</f>
        <v/>
      </c>
      <c r="C19" s="24">
        <f>C18+B19</f>
        <v/>
      </c>
      <c r="D19" s="24">
        <f>SUMPRODUCT(($A$5:$A$59&lt;=A19-Lag)*($A$5:$A$59&gt;A19-Lag-PrazoNovo)*$B$5:$B$59)</f>
        <v/>
      </c>
      <c r="E19" s="24">
        <f>D19*YieldRAP*(1-Erosao)^(A19-AnoBase)</f>
        <v/>
      </c>
      <c r="F19" s="24">
        <f>RecTrAnual/(1-DedTr)*(1-Erosao)^(A19-AnoBase)</f>
        <v/>
      </c>
      <c r="G19" s="25">
        <f>IF(A19&lt;AnoIniVenc,1,MAX(0,1-(A19-AnoIniVenc+1)/(AnoFimVenc-AnoIniVenc+1)))</f>
        <v/>
      </c>
      <c r="H19" s="24">
        <f>F19*G19+E19</f>
        <v/>
      </c>
      <c r="I19" s="24">
        <f>-H19*DedTr</f>
        <v/>
      </c>
      <c r="J19" s="24">
        <f>H19+I19</f>
        <v/>
      </c>
      <c r="K19" s="24">
        <f>-H19*OMTr</f>
        <v/>
      </c>
      <c r="L19" s="26">
        <f>J19+K19</f>
        <v/>
      </c>
      <c r="M19" s="25">
        <f>IFERROR(L19/J19,"")</f>
        <v/>
      </c>
      <c r="N19" s="24">
        <f>-H19*CapexMan</f>
        <v/>
      </c>
    </row>
    <row r="20">
      <c r="A20" s="23" t="n">
        <v>2041</v>
      </c>
      <c r="B20" s="24">
        <f>IF(A20&lt;=AnoUltLeilao,CapexRec,0)</f>
        <v/>
      </c>
      <c r="C20" s="24">
        <f>C19+B20</f>
        <v/>
      </c>
      <c r="D20" s="24">
        <f>SUMPRODUCT(($A$5:$A$59&lt;=A20-Lag)*($A$5:$A$59&gt;A20-Lag-PrazoNovo)*$B$5:$B$59)</f>
        <v/>
      </c>
      <c r="E20" s="24">
        <f>D20*YieldRAP*(1-Erosao)^(A20-AnoBase)</f>
        <v/>
      </c>
      <c r="F20" s="24">
        <f>RecTrAnual/(1-DedTr)*(1-Erosao)^(A20-AnoBase)</f>
        <v/>
      </c>
      <c r="G20" s="25">
        <f>IF(A20&lt;AnoIniVenc,1,MAX(0,1-(A20-AnoIniVenc+1)/(AnoFimVenc-AnoIniVenc+1)))</f>
        <v/>
      </c>
      <c r="H20" s="24">
        <f>F20*G20+E20</f>
        <v/>
      </c>
      <c r="I20" s="24">
        <f>-H20*DedTr</f>
        <v/>
      </c>
      <c r="J20" s="24">
        <f>H20+I20</f>
        <v/>
      </c>
      <c r="K20" s="24">
        <f>-H20*OMTr</f>
        <v/>
      </c>
      <c r="L20" s="26">
        <f>J20+K20</f>
        <v/>
      </c>
      <c r="M20" s="25">
        <f>IFERROR(L20/J20,"")</f>
        <v/>
      </c>
      <c r="N20" s="24">
        <f>-H20*CapexMan</f>
        <v/>
      </c>
    </row>
    <row r="21">
      <c r="A21" s="23" t="n">
        <v>2042</v>
      </c>
      <c r="B21" s="24">
        <f>IF(A21&lt;=AnoUltLeilao,CapexRec,0)</f>
        <v/>
      </c>
      <c r="C21" s="24">
        <f>C20+B21</f>
        <v/>
      </c>
      <c r="D21" s="24">
        <f>SUMPRODUCT(($A$5:$A$59&lt;=A21-Lag)*($A$5:$A$59&gt;A21-Lag-PrazoNovo)*$B$5:$B$59)</f>
        <v/>
      </c>
      <c r="E21" s="24">
        <f>D21*YieldRAP*(1-Erosao)^(A21-AnoBase)</f>
        <v/>
      </c>
      <c r="F21" s="24">
        <f>RecTrAnual/(1-DedTr)*(1-Erosao)^(A21-AnoBase)</f>
        <v/>
      </c>
      <c r="G21" s="25">
        <f>IF(A21&lt;AnoIniVenc,1,MAX(0,1-(A21-AnoIniVenc+1)/(AnoFimVenc-AnoIniVenc+1)))</f>
        <v/>
      </c>
      <c r="H21" s="24">
        <f>F21*G21+E21</f>
        <v/>
      </c>
      <c r="I21" s="24">
        <f>-H21*DedTr</f>
        <v/>
      </c>
      <c r="J21" s="24">
        <f>H21+I21</f>
        <v/>
      </c>
      <c r="K21" s="24">
        <f>-H21*OMTr</f>
        <v/>
      </c>
      <c r="L21" s="26">
        <f>J21+K21</f>
        <v/>
      </c>
      <c r="M21" s="25">
        <f>IFERROR(L21/J21,"")</f>
        <v/>
      </c>
      <c r="N21" s="24">
        <f>-H21*CapexMan</f>
        <v/>
      </c>
    </row>
    <row r="22">
      <c r="A22" s="23" t="n">
        <v>2043</v>
      </c>
      <c r="B22" s="24">
        <f>IF(A22&lt;=AnoUltLeilao,CapexRec,0)</f>
        <v/>
      </c>
      <c r="C22" s="24">
        <f>C21+B22</f>
        <v/>
      </c>
      <c r="D22" s="24">
        <f>SUMPRODUCT(($A$5:$A$59&lt;=A22-Lag)*($A$5:$A$59&gt;A22-Lag-PrazoNovo)*$B$5:$B$59)</f>
        <v/>
      </c>
      <c r="E22" s="24">
        <f>D22*YieldRAP*(1-Erosao)^(A22-AnoBase)</f>
        <v/>
      </c>
      <c r="F22" s="24">
        <f>RecTrAnual/(1-DedTr)*(1-Erosao)^(A22-AnoBase)</f>
        <v/>
      </c>
      <c r="G22" s="25">
        <f>IF(A22&lt;AnoIniVenc,1,MAX(0,1-(A22-AnoIniVenc+1)/(AnoFimVenc-AnoIniVenc+1)))</f>
        <v/>
      </c>
      <c r="H22" s="24">
        <f>F22*G22+E22</f>
        <v/>
      </c>
      <c r="I22" s="24">
        <f>-H22*DedTr</f>
        <v/>
      </c>
      <c r="J22" s="24">
        <f>H22+I22</f>
        <v/>
      </c>
      <c r="K22" s="24">
        <f>-H22*OMTr</f>
        <v/>
      </c>
      <c r="L22" s="26">
        <f>J22+K22</f>
        <v/>
      </c>
      <c r="M22" s="25">
        <f>IFERROR(L22/J22,"")</f>
        <v/>
      </c>
      <c r="N22" s="24">
        <f>-H22*CapexMan</f>
        <v/>
      </c>
    </row>
    <row r="23">
      <c r="A23" s="23" t="n">
        <v>2044</v>
      </c>
      <c r="B23" s="24">
        <f>IF(A23&lt;=AnoUltLeilao,CapexRec,0)</f>
        <v/>
      </c>
      <c r="C23" s="24">
        <f>C22+B23</f>
        <v/>
      </c>
      <c r="D23" s="24">
        <f>SUMPRODUCT(($A$5:$A$59&lt;=A23-Lag)*($A$5:$A$59&gt;A23-Lag-PrazoNovo)*$B$5:$B$59)</f>
        <v/>
      </c>
      <c r="E23" s="24">
        <f>D23*YieldRAP*(1-Erosao)^(A23-AnoBase)</f>
        <v/>
      </c>
      <c r="F23" s="24">
        <f>RecTrAnual/(1-DedTr)*(1-Erosao)^(A23-AnoBase)</f>
        <v/>
      </c>
      <c r="G23" s="25">
        <f>IF(A23&lt;AnoIniVenc,1,MAX(0,1-(A23-AnoIniVenc+1)/(AnoFimVenc-AnoIniVenc+1)))</f>
        <v/>
      </c>
      <c r="H23" s="24">
        <f>F23*G23+E23</f>
        <v/>
      </c>
      <c r="I23" s="24">
        <f>-H23*DedTr</f>
        <v/>
      </c>
      <c r="J23" s="24">
        <f>H23+I23</f>
        <v/>
      </c>
      <c r="K23" s="24">
        <f>-H23*OMTr</f>
        <v/>
      </c>
      <c r="L23" s="26">
        <f>J23+K23</f>
        <v/>
      </c>
      <c r="M23" s="25">
        <f>IFERROR(L23/J23,"")</f>
        <v/>
      </c>
      <c r="N23" s="24">
        <f>-H23*CapexMan</f>
        <v/>
      </c>
    </row>
    <row r="24">
      <c r="A24" s="23" t="n">
        <v>2045</v>
      </c>
      <c r="B24" s="24">
        <f>IF(A24&lt;=AnoUltLeilao,CapexRec,0)</f>
        <v/>
      </c>
      <c r="C24" s="24">
        <f>C23+B24</f>
        <v/>
      </c>
      <c r="D24" s="24">
        <f>SUMPRODUCT(($A$5:$A$59&lt;=A24-Lag)*($A$5:$A$59&gt;A24-Lag-PrazoNovo)*$B$5:$B$59)</f>
        <v/>
      </c>
      <c r="E24" s="24">
        <f>D24*YieldRAP*(1-Erosao)^(A24-AnoBase)</f>
        <v/>
      </c>
      <c r="F24" s="24">
        <f>RecTrAnual/(1-DedTr)*(1-Erosao)^(A24-AnoBase)</f>
        <v/>
      </c>
      <c r="G24" s="25">
        <f>IF(A24&lt;AnoIniVenc,1,MAX(0,1-(A24-AnoIniVenc+1)/(AnoFimVenc-AnoIniVenc+1)))</f>
        <v/>
      </c>
      <c r="H24" s="24">
        <f>F24*G24+E24</f>
        <v/>
      </c>
      <c r="I24" s="24">
        <f>-H24*DedTr</f>
        <v/>
      </c>
      <c r="J24" s="24">
        <f>H24+I24</f>
        <v/>
      </c>
      <c r="K24" s="24">
        <f>-H24*OMTr</f>
        <v/>
      </c>
      <c r="L24" s="26">
        <f>J24+K24</f>
        <v/>
      </c>
      <c r="M24" s="25">
        <f>IFERROR(L24/J24,"")</f>
        <v/>
      </c>
      <c r="N24" s="24">
        <f>-H24*CapexMan</f>
        <v/>
      </c>
    </row>
    <row r="25">
      <c r="A25" s="23" t="n">
        <v>2046</v>
      </c>
      <c r="B25" s="24">
        <f>IF(A25&lt;=AnoUltLeilao,CapexRec,0)</f>
        <v/>
      </c>
      <c r="C25" s="24">
        <f>C24+B25</f>
        <v/>
      </c>
      <c r="D25" s="24">
        <f>SUMPRODUCT(($A$5:$A$59&lt;=A25-Lag)*($A$5:$A$59&gt;A25-Lag-PrazoNovo)*$B$5:$B$59)</f>
        <v/>
      </c>
      <c r="E25" s="24">
        <f>D25*YieldRAP*(1-Erosao)^(A25-AnoBase)</f>
        <v/>
      </c>
      <c r="F25" s="24">
        <f>RecTrAnual/(1-DedTr)*(1-Erosao)^(A25-AnoBase)</f>
        <v/>
      </c>
      <c r="G25" s="25">
        <f>IF(A25&lt;AnoIniVenc,1,MAX(0,1-(A25-AnoIniVenc+1)/(AnoFimVenc-AnoIniVenc+1)))</f>
        <v/>
      </c>
      <c r="H25" s="24">
        <f>F25*G25+E25</f>
        <v/>
      </c>
      <c r="I25" s="24">
        <f>-H25*DedTr</f>
        <v/>
      </c>
      <c r="J25" s="24">
        <f>H25+I25</f>
        <v/>
      </c>
      <c r="K25" s="24">
        <f>-H25*OMTr</f>
        <v/>
      </c>
      <c r="L25" s="26">
        <f>J25+K25</f>
        <v/>
      </c>
      <c r="M25" s="25">
        <f>IFERROR(L25/J25,"")</f>
        <v/>
      </c>
      <c r="N25" s="24">
        <f>-H25*CapexMan</f>
        <v/>
      </c>
    </row>
    <row r="26">
      <c r="A26" s="23" t="n">
        <v>2047</v>
      </c>
      <c r="B26" s="24">
        <f>IF(A26&lt;=AnoUltLeilao,CapexRec,0)</f>
        <v/>
      </c>
      <c r="C26" s="24">
        <f>C25+B26</f>
        <v/>
      </c>
      <c r="D26" s="24">
        <f>SUMPRODUCT(($A$5:$A$59&lt;=A26-Lag)*($A$5:$A$59&gt;A26-Lag-PrazoNovo)*$B$5:$B$59)</f>
        <v/>
      </c>
      <c r="E26" s="24">
        <f>D26*YieldRAP*(1-Erosao)^(A26-AnoBase)</f>
        <v/>
      </c>
      <c r="F26" s="24">
        <f>RecTrAnual/(1-DedTr)*(1-Erosao)^(A26-AnoBase)</f>
        <v/>
      </c>
      <c r="G26" s="25">
        <f>IF(A26&lt;AnoIniVenc,1,MAX(0,1-(A26-AnoIniVenc+1)/(AnoFimVenc-AnoIniVenc+1)))</f>
        <v/>
      </c>
      <c r="H26" s="24">
        <f>F26*G26+E26</f>
        <v/>
      </c>
      <c r="I26" s="24">
        <f>-H26*DedTr</f>
        <v/>
      </c>
      <c r="J26" s="24">
        <f>H26+I26</f>
        <v/>
      </c>
      <c r="K26" s="24">
        <f>-H26*OMTr</f>
        <v/>
      </c>
      <c r="L26" s="26">
        <f>J26+K26</f>
        <v/>
      </c>
      <c r="M26" s="25">
        <f>IFERROR(L26/J26,"")</f>
        <v/>
      </c>
      <c r="N26" s="24">
        <f>-H26*CapexMan</f>
        <v/>
      </c>
    </row>
    <row r="27">
      <c r="A27" s="23" t="n">
        <v>2048</v>
      </c>
      <c r="B27" s="24">
        <f>IF(A27&lt;=AnoUltLeilao,CapexRec,0)</f>
        <v/>
      </c>
      <c r="C27" s="24">
        <f>C26+B27</f>
        <v/>
      </c>
      <c r="D27" s="24">
        <f>SUMPRODUCT(($A$5:$A$59&lt;=A27-Lag)*($A$5:$A$59&gt;A27-Lag-PrazoNovo)*$B$5:$B$59)</f>
        <v/>
      </c>
      <c r="E27" s="24">
        <f>D27*YieldRAP*(1-Erosao)^(A27-AnoBase)</f>
        <v/>
      </c>
      <c r="F27" s="24">
        <f>RecTrAnual/(1-DedTr)*(1-Erosao)^(A27-AnoBase)</f>
        <v/>
      </c>
      <c r="G27" s="25">
        <f>IF(A27&lt;AnoIniVenc,1,MAX(0,1-(A27-AnoIniVenc+1)/(AnoFimVenc-AnoIniVenc+1)))</f>
        <v/>
      </c>
      <c r="H27" s="24">
        <f>F27*G27+E27</f>
        <v/>
      </c>
      <c r="I27" s="24">
        <f>-H27*DedTr</f>
        <v/>
      </c>
      <c r="J27" s="24">
        <f>H27+I27</f>
        <v/>
      </c>
      <c r="K27" s="24">
        <f>-H27*OMTr</f>
        <v/>
      </c>
      <c r="L27" s="26">
        <f>J27+K27</f>
        <v/>
      </c>
      <c r="M27" s="25">
        <f>IFERROR(L27/J27,"")</f>
        <v/>
      </c>
      <c r="N27" s="24">
        <f>-H27*CapexMan</f>
        <v/>
      </c>
    </row>
    <row r="28">
      <c r="A28" s="23" t="n">
        <v>2049</v>
      </c>
      <c r="B28" s="24">
        <f>IF(A28&lt;=AnoUltLeilao,CapexRec,0)</f>
        <v/>
      </c>
      <c r="C28" s="24">
        <f>C27+B28</f>
        <v/>
      </c>
      <c r="D28" s="24">
        <f>SUMPRODUCT(($A$5:$A$59&lt;=A28-Lag)*($A$5:$A$59&gt;A28-Lag-PrazoNovo)*$B$5:$B$59)</f>
        <v/>
      </c>
      <c r="E28" s="24">
        <f>D28*YieldRAP*(1-Erosao)^(A28-AnoBase)</f>
        <v/>
      </c>
      <c r="F28" s="24">
        <f>RecTrAnual/(1-DedTr)*(1-Erosao)^(A28-AnoBase)</f>
        <v/>
      </c>
      <c r="G28" s="25">
        <f>IF(A28&lt;AnoIniVenc,1,MAX(0,1-(A28-AnoIniVenc+1)/(AnoFimVenc-AnoIniVenc+1)))</f>
        <v/>
      </c>
      <c r="H28" s="24">
        <f>F28*G28+E28</f>
        <v/>
      </c>
      <c r="I28" s="24">
        <f>-H28*DedTr</f>
        <v/>
      </c>
      <c r="J28" s="24">
        <f>H28+I28</f>
        <v/>
      </c>
      <c r="K28" s="24">
        <f>-H28*OMTr</f>
        <v/>
      </c>
      <c r="L28" s="26">
        <f>J28+K28</f>
        <v/>
      </c>
      <c r="M28" s="25">
        <f>IFERROR(L28/J28,"")</f>
        <v/>
      </c>
      <c r="N28" s="24">
        <f>-H28*CapexMan</f>
        <v/>
      </c>
    </row>
    <row r="29">
      <c r="A29" s="23" t="n">
        <v>2050</v>
      </c>
      <c r="B29" s="24">
        <f>IF(A29&lt;=AnoUltLeilao,CapexRec,0)</f>
        <v/>
      </c>
      <c r="C29" s="24">
        <f>C28+B29</f>
        <v/>
      </c>
      <c r="D29" s="24">
        <f>SUMPRODUCT(($A$5:$A$59&lt;=A29-Lag)*($A$5:$A$59&gt;A29-Lag-PrazoNovo)*$B$5:$B$59)</f>
        <v/>
      </c>
      <c r="E29" s="24">
        <f>D29*YieldRAP*(1-Erosao)^(A29-AnoBase)</f>
        <v/>
      </c>
      <c r="F29" s="24">
        <f>RecTrAnual/(1-DedTr)*(1-Erosao)^(A29-AnoBase)</f>
        <v/>
      </c>
      <c r="G29" s="25">
        <f>IF(A29&lt;AnoIniVenc,1,MAX(0,1-(A29-AnoIniVenc+1)/(AnoFimVenc-AnoIniVenc+1)))</f>
        <v/>
      </c>
      <c r="H29" s="24">
        <f>F29*G29+E29</f>
        <v/>
      </c>
      <c r="I29" s="24">
        <f>-H29*DedTr</f>
        <v/>
      </c>
      <c r="J29" s="24">
        <f>H29+I29</f>
        <v/>
      </c>
      <c r="K29" s="24">
        <f>-H29*OMTr</f>
        <v/>
      </c>
      <c r="L29" s="26">
        <f>J29+K29</f>
        <v/>
      </c>
      <c r="M29" s="25">
        <f>IFERROR(L29/J29,"")</f>
        <v/>
      </c>
      <c r="N29" s="24">
        <f>-H29*CapexMan</f>
        <v/>
      </c>
    </row>
    <row r="30">
      <c r="A30" s="23" t="n">
        <v>2051</v>
      </c>
      <c r="B30" s="24">
        <f>IF(A30&lt;=AnoUltLeilao,CapexRec,0)</f>
        <v/>
      </c>
      <c r="C30" s="24">
        <f>C29+B30</f>
        <v/>
      </c>
      <c r="D30" s="24">
        <f>SUMPRODUCT(($A$5:$A$59&lt;=A30-Lag)*($A$5:$A$59&gt;A30-Lag-PrazoNovo)*$B$5:$B$59)</f>
        <v/>
      </c>
      <c r="E30" s="24">
        <f>D30*YieldRAP*(1-Erosao)^(A30-AnoBase)</f>
        <v/>
      </c>
      <c r="F30" s="24">
        <f>RecTrAnual/(1-DedTr)*(1-Erosao)^(A30-AnoBase)</f>
        <v/>
      </c>
      <c r="G30" s="25">
        <f>IF(A30&lt;AnoIniVenc,1,MAX(0,1-(A30-AnoIniVenc+1)/(AnoFimVenc-AnoIniVenc+1)))</f>
        <v/>
      </c>
      <c r="H30" s="24">
        <f>F30*G30+E30</f>
        <v/>
      </c>
      <c r="I30" s="24">
        <f>-H30*DedTr</f>
        <v/>
      </c>
      <c r="J30" s="24">
        <f>H30+I30</f>
        <v/>
      </c>
      <c r="K30" s="24">
        <f>-H30*OMTr</f>
        <v/>
      </c>
      <c r="L30" s="26">
        <f>J30+K30</f>
        <v/>
      </c>
      <c r="M30" s="25">
        <f>IFERROR(L30/J30,"")</f>
        <v/>
      </c>
      <c r="N30" s="24">
        <f>-H30*CapexMan</f>
        <v/>
      </c>
    </row>
    <row r="31">
      <c r="A31" s="23" t="n">
        <v>2052</v>
      </c>
      <c r="B31" s="24">
        <f>IF(A31&lt;=AnoUltLeilao,CapexRec,0)</f>
        <v/>
      </c>
      <c r="C31" s="24">
        <f>C30+B31</f>
        <v/>
      </c>
      <c r="D31" s="24">
        <f>SUMPRODUCT(($A$5:$A$59&lt;=A31-Lag)*($A$5:$A$59&gt;A31-Lag-PrazoNovo)*$B$5:$B$59)</f>
        <v/>
      </c>
      <c r="E31" s="24">
        <f>D31*YieldRAP*(1-Erosao)^(A31-AnoBase)</f>
        <v/>
      </c>
      <c r="F31" s="24">
        <f>RecTrAnual/(1-DedTr)*(1-Erosao)^(A31-AnoBase)</f>
        <v/>
      </c>
      <c r="G31" s="25">
        <f>IF(A31&lt;AnoIniVenc,1,MAX(0,1-(A31-AnoIniVenc+1)/(AnoFimVenc-AnoIniVenc+1)))</f>
        <v/>
      </c>
      <c r="H31" s="24">
        <f>F31*G31+E31</f>
        <v/>
      </c>
      <c r="I31" s="24">
        <f>-H31*DedTr</f>
        <v/>
      </c>
      <c r="J31" s="24">
        <f>H31+I31</f>
        <v/>
      </c>
      <c r="K31" s="24">
        <f>-H31*OMTr</f>
        <v/>
      </c>
      <c r="L31" s="26">
        <f>J31+K31</f>
        <v/>
      </c>
      <c r="M31" s="25">
        <f>IFERROR(L31/J31,"")</f>
        <v/>
      </c>
      <c r="N31" s="24">
        <f>-H31*CapexMan</f>
        <v/>
      </c>
    </row>
    <row r="32">
      <c r="A32" s="23" t="n">
        <v>2053</v>
      </c>
      <c r="B32" s="24">
        <f>IF(A32&lt;=AnoUltLeilao,CapexRec,0)</f>
        <v/>
      </c>
      <c r="C32" s="24">
        <f>C31+B32</f>
        <v/>
      </c>
      <c r="D32" s="24">
        <f>SUMPRODUCT(($A$5:$A$59&lt;=A32-Lag)*($A$5:$A$59&gt;A32-Lag-PrazoNovo)*$B$5:$B$59)</f>
        <v/>
      </c>
      <c r="E32" s="24">
        <f>D32*YieldRAP*(1-Erosao)^(A32-AnoBase)</f>
        <v/>
      </c>
      <c r="F32" s="24">
        <f>RecTrAnual/(1-DedTr)*(1-Erosao)^(A32-AnoBase)</f>
        <v/>
      </c>
      <c r="G32" s="25">
        <f>IF(A32&lt;AnoIniVenc,1,MAX(0,1-(A32-AnoIniVenc+1)/(AnoFimVenc-AnoIniVenc+1)))</f>
        <v/>
      </c>
      <c r="H32" s="24">
        <f>F32*G32+E32</f>
        <v/>
      </c>
      <c r="I32" s="24">
        <f>-H32*DedTr</f>
        <v/>
      </c>
      <c r="J32" s="24">
        <f>H32+I32</f>
        <v/>
      </c>
      <c r="K32" s="24">
        <f>-H32*OMTr</f>
        <v/>
      </c>
      <c r="L32" s="26">
        <f>J32+K32</f>
        <v/>
      </c>
      <c r="M32" s="25">
        <f>IFERROR(L32/J32,"")</f>
        <v/>
      </c>
      <c r="N32" s="24">
        <f>-H32*CapexMan</f>
        <v/>
      </c>
    </row>
    <row r="33">
      <c r="A33" s="23" t="n">
        <v>2054</v>
      </c>
      <c r="B33" s="24">
        <f>IF(A33&lt;=AnoUltLeilao,CapexRec,0)</f>
        <v/>
      </c>
      <c r="C33" s="24">
        <f>C32+B33</f>
        <v/>
      </c>
      <c r="D33" s="24">
        <f>SUMPRODUCT(($A$5:$A$59&lt;=A33-Lag)*($A$5:$A$59&gt;A33-Lag-PrazoNovo)*$B$5:$B$59)</f>
        <v/>
      </c>
      <c r="E33" s="24">
        <f>D33*YieldRAP*(1-Erosao)^(A33-AnoBase)</f>
        <v/>
      </c>
      <c r="F33" s="24">
        <f>RecTrAnual/(1-DedTr)*(1-Erosao)^(A33-AnoBase)</f>
        <v/>
      </c>
      <c r="G33" s="25">
        <f>IF(A33&lt;AnoIniVenc,1,MAX(0,1-(A33-AnoIniVenc+1)/(AnoFimVenc-AnoIniVenc+1)))</f>
        <v/>
      </c>
      <c r="H33" s="24">
        <f>F33*G33+E33</f>
        <v/>
      </c>
      <c r="I33" s="24">
        <f>-H33*DedTr</f>
        <v/>
      </c>
      <c r="J33" s="24">
        <f>H33+I33</f>
        <v/>
      </c>
      <c r="K33" s="24">
        <f>-H33*OMTr</f>
        <v/>
      </c>
      <c r="L33" s="26">
        <f>J33+K33</f>
        <v/>
      </c>
      <c r="M33" s="25">
        <f>IFERROR(L33/J33,"")</f>
        <v/>
      </c>
      <c r="N33" s="24">
        <f>-H33*CapexMan</f>
        <v/>
      </c>
    </row>
    <row r="34">
      <c r="A34" s="23" t="n">
        <v>2055</v>
      </c>
      <c r="B34" s="24">
        <f>IF(A34&lt;=AnoUltLeilao,CapexRec,0)</f>
        <v/>
      </c>
      <c r="C34" s="24">
        <f>C33+B34</f>
        <v/>
      </c>
      <c r="D34" s="24">
        <f>SUMPRODUCT(($A$5:$A$59&lt;=A34-Lag)*($A$5:$A$59&gt;A34-Lag-PrazoNovo)*$B$5:$B$59)</f>
        <v/>
      </c>
      <c r="E34" s="24">
        <f>D34*YieldRAP*(1-Erosao)^(A34-AnoBase)</f>
        <v/>
      </c>
      <c r="F34" s="24">
        <f>RecTrAnual/(1-DedTr)*(1-Erosao)^(A34-AnoBase)</f>
        <v/>
      </c>
      <c r="G34" s="25">
        <f>IF(A34&lt;AnoIniVenc,1,MAX(0,1-(A34-AnoIniVenc+1)/(AnoFimVenc-AnoIniVenc+1)))</f>
        <v/>
      </c>
      <c r="H34" s="24">
        <f>F34*G34+E34</f>
        <v/>
      </c>
      <c r="I34" s="24">
        <f>-H34*DedTr</f>
        <v/>
      </c>
      <c r="J34" s="24">
        <f>H34+I34</f>
        <v/>
      </c>
      <c r="K34" s="24">
        <f>-H34*OMTr</f>
        <v/>
      </c>
      <c r="L34" s="26">
        <f>J34+K34</f>
        <v/>
      </c>
      <c r="M34" s="25">
        <f>IFERROR(L34/J34,"")</f>
        <v/>
      </c>
      <c r="N34" s="24">
        <f>-H34*CapexMan</f>
        <v/>
      </c>
    </row>
    <row r="35">
      <c r="A35" s="23" t="n">
        <v>2056</v>
      </c>
      <c r="B35" s="24">
        <f>IF(A35&lt;=AnoUltLeilao,CapexRec,0)</f>
        <v/>
      </c>
      <c r="C35" s="24">
        <f>C34+B35</f>
        <v/>
      </c>
      <c r="D35" s="24">
        <f>SUMPRODUCT(($A$5:$A$59&lt;=A35-Lag)*($A$5:$A$59&gt;A35-Lag-PrazoNovo)*$B$5:$B$59)</f>
        <v/>
      </c>
      <c r="E35" s="24">
        <f>D35*YieldRAP*(1-Erosao)^(A35-AnoBase)</f>
        <v/>
      </c>
      <c r="F35" s="24">
        <f>RecTrAnual/(1-DedTr)*(1-Erosao)^(A35-AnoBase)</f>
        <v/>
      </c>
      <c r="G35" s="25">
        <f>IF(A35&lt;AnoIniVenc,1,MAX(0,1-(A35-AnoIniVenc+1)/(AnoFimVenc-AnoIniVenc+1)))</f>
        <v/>
      </c>
      <c r="H35" s="24">
        <f>F35*G35+E35</f>
        <v/>
      </c>
      <c r="I35" s="24">
        <f>-H35*DedTr</f>
        <v/>
      </c>
      <c r="J35" s="24">
        <f>H35+I35</f>
        <v/>
      </c>
      <c r="K35" s="24">
        <f>-H35*OMTr</f>
        <v/>
      </c>
      <c r="L35" s="26">
        <f>J35+K35</f>
        <v/>
      </c>
      <c r="M35" s="25">
        <f>IFERROR(L35/J35,"")</f>
        <v/>
      </c>
      <c r="N35" s="24">
        <f>-H35*CapexMan</f>
        <v/>
      </c>
    </row>
    <row r="36">
      <c r="A36" s="23" t="n">
        <v>2057</v>
      </c>
      <c r="B36" s="24">
        <f>IF(A36&lt;=AnoUltLeilao,CapexRec,0)</f>
        <v/>
      </c>
      <c r="C36" s="24">
        <f>C35+B36</f>
        <v/>
      </c>
      <c r="D36" s="24">
        <f>SUMPRODUCT(($A$5:$A$59&lt;=A36-Lag)*($A$5:$A$59&gt;A36-Lag-PrazoNovo)*$B$5:$B$59)</f>
        <v/>
      </c>
      <c r="E36" s="24">
        <f>D36*YieldRAP*(1-Erosao)^(A36-AnoBase)</f>
        <v/>
      </c>
      <c r="F36" s="24">
        <f>RecTrAnual/(1-DedTr)*(1-Erosao)^(A36-AnoBase)</f>
        <v/>
      </c>
      <c r="G36" s="25">
        <f>IF(A36&lt;AnoIniVenc,1,MAX(0,1-(A36-AnoIniVenc+1)/(AnoFimVenc-AnoIniVenc+1)))</f>
        <v/>
      </c>
      <c r="H36" s="24">
        <f>F36*G36+E36</f>
        <v/>
      </c>
      <c r="I36" s="24">
        <f>-H36*DedTr</f>
        <v/>
      </c>
      <c r="J36" s="24">
        <f>H36+I36</f>
        <v/>
      </c>
      <c r="K36" s="24">
        <f>-H36*OMTr</f>
        <v/>
      </c>
      <c r="L36" s="26">
        <f>J36+K36</f>
        <v/>
      </c>
      <c r="M36" s="25">
        <f>IFERROR(L36/J36,"")</f>
        <v/>
      </c>
      <c r="N36" s="24">
        <f>-H36*CapexMan</f>
        <v/>
      </c>
    </row>
    <row r="37">
      <c r="A37" s="23" t="n">
        <v>2058</v>
      </c>
      <c r="B37" s="24">
        <f>IF(A37&lt;=AnoUltLeilao,CapexRec,0)</f>
        <v/>
      </c>
      <c r="C37" s="24">
        <f>C36+B37</f>
        <v/>
      </c>
      <c r="D37" s="24">
        <f>SUMPRODUCT(($A$5:$A$59&lt;=A37-Lag)*($A$5:$A$59&gt;A37-Lag-PrazoNovo)*$B$5:$B$59)</f>
        <v/>
      </c>
      <c r="E37" s="24">
        <f>D37*YieldRAP*(1-Erosao)^(A37-AnoBase)</f>
        <v/>
      </c>
      <c r="F37" s="24">
        <f>RecTrAnual/(1-DedTr)*(1-Erosao)^(A37-AnoBase)</f>
        <v/>
      </c>
      <c r="G37" s="25">
        <f>IF(A37&lt;AnoIniVenc,1,MAX(0,1-(A37-AnoIniVenc+1)/(AnoFimVenc-AnoIniVenc+1)))</f>
        <v/>
      </c>
      <c r="H37" s="24">
        <f>F37*G37+E37</f>
        <v/>
      </c>
      <c r="I37" s="24">
        <f>-H37*DedTr</f>
        <v/>
      </c>
      <c r="J37" s="24">
        <f>H37+I37</f>
        <v/>
      </c>
      <c r="K37" s="24">
        <f>-H37*OMTr</f>
        <v/>
      </c>
      <c r="L37" s="26">
        <f>J37+K37</f>
        <v/>
      </c>
      <c r="M37" s="25">
        <f>IFERROR(L37/J37,"")</f>
        <v/>
      </c>
      <c r="N37" s="24">
        <f>-H37*CapexMan</f>
        <v/>
      </c>
    </row>
    <row r="38">
      <c r="A38" s="23" t="n">
        <v>2059</v>
      </c>
      <c r="B38" s="24">
        <f>IF(A38&lt;=AnoUltLeilao,CapexRec,0)</f>
        <v/>
      </c>
      <c r="C38" s="24">
        <f>C37+B38</f>
        <v/>
      </c>
      <c r="D38" s="24">
        <f>SUMPRODUCT(($A$5:$A$59&lt;=A38-Lag)*($A$5:$A$59&gt;A38-Lag-PrazoNovo)*$B$5:$B$59)</f>
        <v/>
      </c>
      <c r="E38" s="24">
        <f>D38*YieldRAP*(1-Erosao)^(A38-AnoBase)</f>
        <v/>
      </c>
      <c r="F38" s="24">
        <f>RecTrAnual/(1-DedTr)*(1-Erosao)^(A38-AnoBase)</f>
        <v/>
      </c>
      <c r="G38" s="25">
        <f>IF(A38&lt;AnoIniVenc,1,MAX(0,1-(A38-AnoIniVenc+1)/(AnoFimVenc-AnoIniVenc+1)))</f>
        <v/>
      </c>
      <c r="H38" s="24">
        <f>F38*G38+E38</f>
        <v/>
      </c>
      <c r="I38" s="24">
        <f>-H38*DedTr</f>
        <v/>
      </c>
      <c r="J38" s="24">
        <f>H38+I38</f>
        <v/>
      </c>
      <c r="K38" s="24">
        <f>-H38*OMTr</f>
        <v/>
      </c>
      <c r="L38" s="26">
        <f>J38+K38</f>
        <v/>
      </c>
      <c r="M38" s="25">
        <f>IFERROR(L38/J38,"")</f>
        <v/>
      </c>
      <c r="N38" s="24">
        <f>-H38*CapexMan</f>
        <v/>
      </c>
    </row>
    <row r="39">
      <c r="A39" s="23" t="n">
        <v>2060</v>
      </c>
      <c r="B39" s="24">
        <f>IF(A39&lt;=AnoUltLeilao,CapexRec,0)</f>
        <v/>
      </c>
      <c r="C39" s="24">
        <f>C38+B39</f>
        <v/>
      </c>
      <c r="D39" s="24">
        <f>SUMPRODUCT(($A$5:$A$59&lt;=A39-Lag)*($A$5:$A$59&gt;A39-Lag-PrazoNovo)*$B$5:$B$59)</f>
        <v/>
      </c>
      <c r="E39" s="24">
        <f>D39*YieldRAP*(1-Erosao)^(A39-AnoBase)</f>
        <v/>
      </c>
      <c r="F39" s="24">
        <f>RecTrAnual/(1-DedTr)*(1-Erosao)^(A39-AnoBase)</f>
        <v/>
      </c>
      <c r="G39" s="25">
        <f>IF(A39&lt;AnoIniVenc,1,MAX(0,1-(A39-AnoIniVenc+1)/(AnoFimVenc-AnoIniVenc+1)))</f>
        <v/>
      </c>
      <c r="H39" s="24">
        <f>F39*G39+E39</f>
        <v/>
      </c>
      <c r="I39" s="24">
        <f>-H39*DedTr</f>
        <v/>
      </c>
      <c r="J39" s="24">
        <f>H39+I39</f>
        <v/>
      </c>
      <c r="K39" s="24">
        <f>-H39*OMTr</f>
        <v/>
      </c>
      <c r="L39" s="26">
        <f>J39+K39</f>
        <v/>
      </c>
      <c r="M39" s="25">
        <f>IFERROR(L39/J39,"")</f>
        <v/>
      </c>
      <c r="N39" s="24">
        <f>-H39*CapexMan</f>
        <v/>
      </c>
    </row>
    <row r="40">
      <c r="A40" s="23" t="n">
        <v>2061</v>
      </c>
      <c r="B40" s="24">
        <f>IF(A40&lt;=AnoUltLeilao,CapexRec,0)</f>
        <v/>
      </c>
      <c r="C40" s="24">
        <f>C39+B40</f>
        <v/>
      </c>
      <c r="D40" s="24">
        <f>SUMPRODUCT(($A$5:$A$59&lt;=A40-Lag)*($A$5:$A$59&gt;A40-Lag-PrazoNovo)*$B$5:$B$59)</f>
        <v/>
      </c>
      <c r="E40" s="24">
        <f>D40*YieldRAP*(1-Erosao)^(A40-AnoBase)</f>
        <v/>
      </c>
      <c r="F40" s="24">
        <f>RecTrAnual/(1-DedTr)*(1-Erosao)^(A40-AnoBase)</f>
        <v/>
      </c>
      <c r="G40" s="25">
        <f>IF(A40&lt;AnoIniVenc,1,MAX(0,1-(A40-AnoIniVenc+1)/(AnoFimVenc-AnoIniVenc+1)))</f>
        <v/>
      </c>
      <c r="H40" s="24">
        <f>F40*G40+E40</f>
        <v/>
      </c>
      <c r="I40" s="24">
        <f>-H40*DedTr</f>
        <v/>
      </c>
      <c r="J40" s="24">
        <f>H40+I40</f>
        <v/>
      </c>
      <c r="K40" s="24">
        <f>-H40*OMTr</f>
        <v/>
      </c>
      <c r="L40" s="26">
        <f>J40+K40</f>
        <v/>
      </c>
      <c r="M40" s="25">
        <f>IFERROR(L40/J40,"")</f>
        <v/>
      </c>
      <c r="N40" s="24">
        <f>-H40*CapexMan</f>
        <v/>
      </c>
    </row>
    <row r="41">
      <c r="A41" s="23" t="n">
        <v>2062</v>
      </c>
      <c r="B41" s="24">
        <f>IF(A41&lt;=AnoUltLeilao,CapexRec,0)</f>
        <v/>
      </c>
      <c r="C41" s="24">
        <f>C40+B41</f>
        <v/>
      </c>
      <c r="D41" s="24">
        <f>SUMPRODUCT(($A$5:$A$59&lt;=A41-Lag)*($A$5:$A$59&gt;A41-Lag-PrazoNovo)*$B$5:$B$59)</f>
        <v/>
      </c>
      <c r="E41" s="24">
        <f>D41*YieldRAP*(1-Erosao)^(A41-AnoBase)</f>
        <v/>
      </c>
      <c r="F41" s="24">
        <f>RecTrAnual/(1-DedTr)*(1-Erosao)^(A41-AnoBase)</f>
        <v/>
      </c>
      <c r="G41" s="25">
        <f>IF(A41&lt;AnoIniVenc,1,MAX(0,1-(A41-AnoIniVenc+1)/(AnoFimVenc-AnoIniVenc+1)))</f>
        <v/>
      </c>
      <c r="H41" s="24">
        <f>F41*G41+E41</f>
        <v/>
      </c>
      <c r="I41" s="24">
        <f>-H41*DedTr</f>
        <v/>
      </c>
      <c r="J41" s="24">
        <f>H41+I41</f>
        <v/>
      </c>
      <c r="K41" s="24">
        <f>-H41*OMTr</f>
        <v/>
      </c>
      <c r="L41" s="26">
        <f>J41+K41</f>
        <v/>
      </c>
      <c r="M41" s="25">
        <f>IFERROR(L41/J41,"")</f>
        <v/>
      </c>
      <c r="N41" s="24">
        <f>-H41*CapexMan</f>
        <v/>
      </c>
    </row>
    <row r="42">
      <c r="A42" s="23" t="n">
        <v>2063</v>
      </c>
      <c r="B42" s="24">
        <f>IF(A42&lt;=AnoUltLeilao,CapexRec,0)</f>
        <v/>
      </c>
      <c r="C42" s="24">
        <f>C41+B42</f>
        <v/>
      </c>
      <c r="D42" s="24">
        <f>SUMPRODUCT(($A$5:$A$59&lt;=A42-Lag)*($A$5:$A$59&gt;A42-Lag-PrazoNovo)*$B$5:$B$59)</f>
        <v/>
      </c>
      <c r="E42" s="24">
        <f>D42*YieldRAP*(1-Erosao)^(A42-AnoBase)</f>
        <v/>
      </c>
      <c r="F42" s="24">
        <f>RecTrAnual/(1-DedTr)*(1-Erosao)^(A42-AnoBase)</f>
        <v/>
      </c>
      <c r="G42" s="25">
        <f>IF(A42&lt;AnoIniVenc,1,MAX(0,1-(A42-AnoIniVenc+1)/(AnoFimVenc-AnoIniVenc+1)))</f>
        <v/>
      </c>
      <c r="H42" s="24">
        <f>F42*G42+E42</f>
        <v/>
      </c>
      <c r="I42" s="24">
        <f>-H42*DedTr</f>
        <v/>
      </c>
      <c r="J42" s="24">
        <f>H42+I42</f>
        <v/>
      </c>
      <c r="K42" s="24">
        <f>-H42*OMTr</f>
        <v/>
      </c>
      <c r="L42" s="26">
        <f>J42+K42</f>
        <v/>
      </c>
      <c r="M42" s="25">
        <f>IFERROR(L42/J42,"")</f>
        <v/>
      </c>
      <c r="N42" s="24">
        <f>-H42*CapexMan</f>
        <v/>
      </c>
    </row>
    <row r="43">
      <c r="A43" s="23" t="n">
        <v>2064</v>
      </c>
      <c r="B43" s="24">
        <f>IF(A43&lt;=AnoUltLeilao,CapexRec,0)</f>
        <v/>
      </c>
      <c r="C43" s="24">
        <f>C42+B43</f>
        <v/>
      </c>
      <c r="D43" s="24">
        <f>SUMPRODUCT(($A$5:$A$59&lt;=A43-Lag)*($A$5:$A$59&gt;A43-Lag-PrazoNovo)*$B$5:$B$59)</f>
        <v/>
      </c>
      <c r="E43" s="24">
        <f>D43*YieldRAP*(1-Erosao)^(A43-AnoBase)</f>
        <v/>
      </c>
      <c r="F43" s="24">
        <f>RecTrAnual/(1-DedTr)*(1-Erosao)^(A43-AnoBase)</f>
        <v/>
      </c>
      <c r="G43" s="25">
        <f>IF(A43&lt;AnoIniVenc,1,MAX(0,1-(A43-AnoIniVenc+1)/(AnoFimVenc-AnoIniVenc+1)))</f>
        <v/>
      </c>
      <c r="H43" s="24">
        <f>F43*G43+E43</f>
        <v/>
      </c>
      <c r="I43" s="24">
        <f>-H43*DedTr</f>
        <v/>
      </c>
      <c r="J43" s="24">
        <f>H43+I43</f>
        <v/>
      </c>
      <c r="K43" s="24">
        <f>-H43*OMTr</f>
        <v/>
      </c>
      <c r="L43" s="26">
        <f>J43+K43</f>
        <v/>
      </c>
      <c r="M43" s="25">
        <f>IFERROR(L43/J43,"")</f>
        <v/>
      </c>
      <c r="N43" s="24">
        <f>-H43*CapexMan</f>
        <v/>
      </c>
    </row>
    <row r="44">
      <c r="A44" s="23" t="n">
        <v>2065</v>
      </c>
      <c r="B44" s="24">
        <f>IF(A44&lt;=AnoUltLeilao,CapexRec,0)</f>
        <v/>
      </c>
      <c r="C44" s="24">
        <f>C43+B44</f>
        <v/>
      </c>
      <c r="D44" s="24">
        <f>SUMPRODUCT(($A$5:$A$59&lt;=A44-Lag)*($A$5:$A$59&gt;A44-Lag-PrazoNovo)*$B$5:$B$59)</f>
        <v/>
      </c>
      <c r="E44" s="24">
        <f>D44*YieldRAP*(1-Erosao)^(A44-AnoBase)</f>
        <v/>
      </c>
      <c r="F44" s="24">
        <f>RecTrAnual/(1-DedTr)*(1-Erosao)^(A44-AnoBase)</f>
        <v/>
      </c>
      <c r="G44" s="25">
        <f>IF(A44&lt;AnoIniVenc,1,MAX(0,1-(A44-AnoIniVenc+1)/(AnoFimVenc-AnoIniVenc+1)))</f>
        <v/>
      </c>
      <c r="H44" s="24">
        <f>F44*G44+E44</f>
        <v/>
      </c>
      <c r="I44" s="24">
        <f>-H44*DedTr</f>
        <v/>
      </c>
      <c r="J44" s="24">
        <f>H44+I44</f>
        <v/>
      </c>
      <c r="K44" s="24">
        <f>-H44*OMTr</f>
        <v/>
      </c>
      <c r="L44" s="26">
        <f>J44+K44</f>
        <v/>
      </c>
      <c r="M44" s="25">
        <f>IFERROR(L44/J44,"")</f>
        <v/>
      </c>
      <c r="N44" s="24">
        <f>-H44*CapexMan</f>
        <v/>
      </c>
    </row>
    <row r="45">
      <c r="A45" s="23" t="n">
        <v>2066</v>
      </c>
      <c r="B45" s="24">
        <f>IF(A45&lt;=AnoUltLeilao,CapexRec,0)</f>
        <v/>
      </c>
      <c r="C45" s="24">
        <f>C44+B45</f>
        <v/>
      </c>
      <c r="D45" s="24">
        <f>SUMPRODUCT(($A$5:$A$59&lt;=A45-Lag)*($A$5:$A$59&gt;A45-Lag-PrazoNovo)*$B$5:$B$59)</f>
        <v/>
      </c>
      <c r="E45" s="24">
        <f>D45*YieldRAP*(1-Erosao)^(A45-AnoBase)</f>
        <v/>
      </c>
      <c r="F45" s="24">
        <f>RecTrAnual/(1-DedTr)*(1-Erosao)^(A45-AnoBase)</f>
        <v/>
      </c>
      <c r="G45" s="25">
        <f>IF(A45&lt;AnoIniVenc,1,MAX(0,1-(A45-AnoIniVenc+1)/(AnoFimVenc-AnoIniVenc+1)))</f>
        <v/>
      </c>
      <c r="H45" s="24">
        <f>F45*G45+E45</f>
        <v/>
      </c>
      <c r="I45" s="24">
        <f>-H45*DedTr</f>
        <v/>
      </c>
      <c r="J45" s="24">
        <f>H45+I45</f>
        <v/>
      </c>
      <c r="K45" s="24">
        <f>-H45*OMTr</f>
        <v/>
      </c>
      <c r="L45" s="26">
        <f>J45+K45</f>
        <v/>
      </c>
      <c r="M45" s="25">
        <f>IFERROR(L45/J45,"")</f>
        <v/>
      </c>
      <c r="N45" s="24">
        <f>-H45*CapexMan</f>
        <v/>
      </c>
    </row>
    <row r="46">
      <c r="A46" s="23" t="n">
        <v>2067</v>
      </c>
      <c r="B46" s="24">
        <f>IF(A46&lt;=AnoUltLeilao,CapexRec,0)</f>
        <v/>
      </c>
      <c r="C46" s="24">
        <f>C45+B46</f>
        <v/>
      </c>
      <c r="D46" s="24">
        <f>SUMPRODUCT(($A$5:$A$59&lt;=A46-Lag)*($A$5:$A$59&gt;A46-Lag-PrazoNovo)*$B$5:$B$59)</f>
        <v/>
      </c>
      <c r="E46" s="24">
        <f>D46*YieldRAP*(1-Erosao)^(A46-AnoBase)</f>
        <v/>
      </c>
      <c r="F46" s="24">
        <f>RecTrAnual/(1-DedTr)*(1-Erosao)^(A46-AnoBase)</f>
        <v/>
      </c>
      <c r="G46" s="25">
        <f>IF(A46&lt;AnoIniVenc,1,MAX(0,1-(A46-AnoIniVenc+1)/(AnoFimVenc-AnoIniVenc+1)))</f>
        <v/>
      </c>
      <c r="H46" s="24">
        <f>F46*G46+E46</f>
        <v/>
      </c>
      <c r="I46" s="24">
        <f>-H46*DedTr</f>
        <v/>
      </c>
      <c r="J46" s="24">
        <f>H46+I46</f>
        <v/>
      </c>
      <c r="K46" s="24">
        <f>-H46*OMTr</f>
        <v/>
      </c>
      <c r="L46" s="26">
        <f>J46+K46</f>
        <v/>
      </c>
      <c r="M46" s="25">
        <f>IFERROR(L46/J46,"")</f>
        <v/>
      </c>
      <c r="N46" s="24">
        <f>-H46*CapexMan</f>
        <v/>
      </c>
    </row>
    <row r="47">
      <c r="A47" s="23" t="n">
        <v>2068</v>
      </c>
      <c r="B47" s="24">
        <f>IF(A47&lt;=AnoUltLeilao,CapexRec,0)</f>
        <v/>
      </c>
      <c r="C47" s="24">
        <f>C46+B47</f>
        <v/>
      </c>
      <c r="D47" s="24">
        <f>SUMPRODUCT(($A$5:$A$59&lt;=A47-Lag)*($A$5:$A$59&gt;A47-Lag-PrazoNovo)*$B$5:$B$59)</f>
        <v/>
      </c>
      <c r="E47" s="24">
        <f>D47*YieldRAP*(1-Erosao)^(A47-AnoBase)</f>
        <v/>
      </c>
      <c r="F47" s="24">
        <f>RecTrAnual/(1-DedTr)*(1-Erosao)^(A47-AnoBase)</f>
        <v/>
      </c>
      <c r="G47" s="25">
        <f>IF(A47&lt;AnoIniVenc,1,MAX(0,1-(A47-AnoIniVenc+1)/(AnoFimVenc-AnoIniVenc+1)))</f>
        <v/>
      </c>
      <c r="H47" s="24">
        <f>F47*G47+E47</f>
        <v/>
      </c>
      <c r="I47" s="24">
        <f>-H47*DedTr</f>
        <v/>
      </c>
      <c r="J47" s="24">
        <f>H47+I47</f>
        <v/>
      </c>
      <c r="K47" s="24">
        <f>-H47*OMTr</f>
        <v/>
      </c>
      <c r="L47" s="26">
        <f>J47+K47</f>
        <v/>
      </c>
      <c r="M47" s="25">
        <f>IFERROR(L47/J47,"")</f>
        <v/>
      </c>
      <c r="N47" s="24">
        <f>-H47*CapexMan</f>
        <v/>
      </c>
    </row>
    <row r="48">
      <c r="A48" s="23" t="n">
        <v>2069</v>
      </c>
      <c r="B48" s="24">
        <f>IF(A48&lt;=AnoUltLeilao,CapexRec,0)</f>
        <v/>
      </c>
      <c r="C48" s="24">
        <f>C47+B48</f>
        <v/>
      </c>
      <c r="D48" s="24">
        <f>SUMPRODUCT(($A$5:$A$59&lt;=A48-Lag)*($A$5:$A$59&gt;A48-Lag-PrazoNovo)*$B$5:$B$59)</f>
        <v/>
      </c>
      <c r="E48" s="24">
        <f>D48*YieldRAP*(1-Erosao)^(A48-AnoBase)</f>
        <v/>
      </c>
      <c r="F48" s="24">
        <f>RecTrAnual/(1-DedTr)*(1-Erosao)^(A48-AnoBase)</f>
        <v/>
      </c>
      <c r="G48" s="25">
        <f>IF(A48&lt;AnoIniVenc,1,MAX(0,1-(A48-AnoIniVenc+1)/(AnoFimVenc-AnoIniVenc+1)))</f>
        <v/>
      </c>
      <c r="H48" s="24">
        <f>F48*G48+E48</f>
        <v/>
      </c>
      <c r="I48" s="24">
        <f>-H48*DedTr</f>
        <v/>
      </c>
      <c r="J48" s="24">
        <f>H48+I48</f>
        <v/>
      </c>
      <c r="K48" s="24">
        <f>-H48*OMTr</f>
        <v/>
      </c>
      <c r="L48" s="26">
        <f>J48+K48</f>
        <v/>
      </c>
      <c r="M48" s="25">
        <f>IFERROR(L48/J48,"")</f>
        <v/>
      </c>
      <c r="N48" s="24">
        <f>-H48*CapexMan</f>
        <v/>
      </c>
    </row>
    <row r="49">
      <c r="A49" s="23" t="n">
        <v>2070</v>
      </c>
      <c r="B49" s="24">
        <f>IF(A49&lt;=AnoUltLeilao,CapexRec,0)</f>
        <v/>
      </c>
      <c r="C49" s="24">
        <f>C48+B49</f>
        <v/>
      </c>
      <c r="D49" s="24">
        <f>SUMPRODUCT(($A$5:$A$59&lt;=A49-Lag)*($A$5:$A$59&gt;A49-Lag-PrazoNovo)*$B$5:$B$59)</f>
        <v/>
      </c>
      <c r="E49" s="24">
        <f>D49*YieldRAP*(1-Erosao)^(A49-AnoBase)</f>
        <v/>
      </c>
      <c r="F49" s="24">
        <f>RecTrAnual/(1-DedTr)*(1-Erosao)^(A49-AnoBase)</f>
        <v/>
      </c>
      <c r="G49" s="25">
        <f>IF(A49&lt;AnoIniVenc,1,MAX(0,1-(A49-AnoIniVenc+1)/(AnoFimVenc-AnoIniVenc+1)))</f>
        <v/>
      </c>
      <c r="H49" s="24">
        <f>F49*G49+E49</f>
        <v/>
      </c>
      <c r="I49" s="24">
        <f>-H49*DedTr</f>
        <v/>
      </c>
      <c r="J49" s="24">
        <f>H49+I49</f>
        <v/>
      </c>
      <c r="K49" s="24">
        <f>-H49*OMTr</f>
        <v/>
      </c>
      <c r="L49" s="26">
        <f>J49+K49</f>
        <v/>
      </c>
      <c r="M49" s="25">
        <f>IFERROR(L49/J49,"")</f>
        <v/>
      </c>
      <c r="N49" s="24">
        <f>-H49*CapexMan</f>
        <v/>
      </c>
    </row>
    <row r="50">
      <c r="A50" s="23" t="n">
        <v>2071</v>
      </c>
      <c r="B50" s="24">
        <f>IF(A50&lt;=AnoUltLeilao,CapexRec,0)</f>
        <v/>
      </c>
      <c r="C50" s="24">
        <f>C49+B50</f>
        <v/>
      </c>
      <c r="D50" s="24">
        <f>SUMPRODUCT(($A$5:$A$59&lt;=A50-Lag)*($A$5:$A$59&gt;A50-Lag-PrazoNovo)*$B$5:$B$59)</f>
        <v/>
      </c>
      <c r="E50" s="24">
        <f>D50*YieldRAP*(1-Erosao)^(A50-AnoBase)</f>
        <v/>
      </c>
      <c r="F50" s="24">
        <f>RecTrAnual/(1-DedTr)*(1-Erosao)^(A50-AnoBase)</f>
        <v/>
      </c>
      <c r="G50" s="25">
        <f>IF(A50&lt;AnoIniVenc,1,MAX(0,1-(A50-AnoIniVenc+1)/(AnoFimVenc-AnoIniVenc+1)))</f>
        <v/>
      </c>
      <c r="H50" s="24">
        <f>F50*G50+E50</f>
        <v/>
      </c>
      <c r="I50" s="24">
        <f>-H50*DedTr</f>
        <v/>
      </c>
      <c r="J50" s="24">
        <f>H50+I50</f>
        <v/>
      </c>
      <c r="K50" s="24">
        <f>-H50*OMTr</f>
        <v/>
      </c>
      <c r="L50" s="26">
        <f>J50+K50</f>
        <v/>
      </c>
      <c r="M50" s="25">
        <f>IFERROR(L50/J50,"")</f>
        <v/>
      </c>
      <c r="N50" s="24">
        <f>-H50*CapexMan</f>
        <v/>
      </c>
    </row>
    <row r="51">
      <c r="A51" s="23" t="n">
        <v>2072</v>
      </c>
      <c r="B51" s="24">
        <f>IF(A51&lt;=AnoUltLeilao,CapexRec,0)</f>
        <v/>
      </c>
      <c r="C51" s="24">
        <f>C50+B51</f>
        <v/>
      </c>
      <c r="D51" s="24">
        <f>SUMPRODUCT(($A$5:$A$59&lt;=A51-Lag)*($A$5:$A$59&gt;A51-Lag-PrazoNovo)*$B$5:$B$59)</f>
        <v/>
      </c>
      <c r="E51" s="24">
        <f>D51*YieldRAP*(1-Erosao)^(A51-AnoBase)</f>
        <v/>
      </c>
      <c r="F51" s="24">
        <f>RecTrAnual/(1-DedTr)*(1-Erosao)^(A51-AnoBase)</f>
        <v/>
      </c>
      <c r="G51" s="25">
        <f>IF(A51&lt;AnoIniVenc,1,MAX(0,1-(A51-AnoIniVenc+1)/(AnoFimVenc-AnoIniVenc+1)))</f>
        <v/>
      </c>
      <c r="H51" s="24">
        <f>F51*G51+E51</f>
        <v/>
      </c>
      <c r="I51" s="24">
        <f>-H51*DedTr</f>
        <v/>
      </c>
      <c r="J51" s="24">
        <f>H51+I51</f>
        <v/>
      </c>
      <c r="K51" s="24">
        <f>-H51*OMTr</f>
        <v/>
      </c>
      <c r="L51" s="26">
        <f>J51+K51</f>
        <v/>
      </c>
      <c r="M51" s="25">
        <f>IFERROR(L51/J51,"")</f>
        <v/>
      </c>
      <c r="N51" s="24">
        <f>-H51*CapexMan</f>
        <v/>
      </c>
    </row>
    <row r="52">
      <c r="A52" s="23" t="n">
        <v>2073</v>
      </c>
      <c r="B52" s="24">
        <f>IF(A52&lt;=AnoUltLeilao,CapexRec,0)</f>
        <v/>
      </c>
      <c r="C52" s="24">
        <f>C51+B52</f>
        <v/>
      </c>
      <c r="D52" s="24">
        <f>SUMPRODUCT(($A$5:$A$59&lt;=A52-Lag)*($A$5:$A$59&gt;A52-Lag-PrazoNovo)*$B$5:$B$59)</f>
        <v/>
      </c>
      <c r="E52" s="24">
        <f>D52*YieldRAP*(1-Erosao)^(A52-AnoBase)</f>
        <v/>
      </c>
      <c r="F52" s="24">
        <f>RecTrAnual/(1-DedTr)*(1-Erosao)^(A52-AnoBase)</f>
        <v/>
      </c>
      <c r="G52" s="25">
        <f>IF(A52&lt;AnoIniVenc,1,MAX(0,1-(A52-AnoIniVenc+1)/(AnoFimVenc-AnoIniVenc+1)))</f>
        <v/>
      </c>
      <c r="H52" s="24">
        <f>F52*G52+E52</f>
        <v/>
      </c>
      <c r="I52" s="24">
        <f>-H52*DedTr</f>
        <v/>
      </c>
      <c r="J52" s="24">
        <f>H52+I52</f>
        <v/>
      </c>
      <c r="K52" s="24">
        <f>-H52*OMTr</f>
        <v/>
      </c>
      <c r="L52" s="26">
        <f>J52+K52</f>
        <v/>
      </c>
      <c r="M52" s="25">
        <f>IFERROR(L52/J52,"")</f>
        <v/>
      </c>
      <c r="N52" s="24">
        <f>-H52*CapexMan</f>
        <v/>
      </c>
    </row>
    <row r="53">
      <c r="A53" s="23" t="n">
        <v>2074</v>
      </c>
      <c r="B53" s="24">
        <f>IF(A53&lt;=AnoUltLeilao,CapexRec,0)</f>
        <v/>
      </c>
      <c r="C53" s="24">
        <f>C52+B53</f>
        <v/>
      </c>
      <c r="D53" s="24">
        <f>SUMPRODUCT(($A$5:$A$59&lt;=A53-Lag)*($A$5:$A$59&gt;A53-Lag-PrazoNovo)*$B$5:$B$59)</f>
        <v/>
      </c>
      <c r="E53" s="24">
        <f>D53*YieldRAP*(1-Erosao)^(A53-AnoBase)</f>
        <v/>
      </c>
      <c r="F53" s="24">
        <f>RecTrAnual/(1-DedTr)*(1-Erosao)^(A53-AnoBase)</f>
        <v/>
      </c>
      <c r="G53" s="25">
        <f>IF(A53&lt;AnoIniVenc,1,MAX(0,1-(A53-AnoIniVenc+1)/(AnoFimVenc-AnoIniVenc+1)))</f>
        <v/>
      </c>
      <c r="H53" s="24">
        <f>F53*G53+E53</f>
        <v/>
      </c>
      <c r="I53" s="24">
        <f>-H53*DedTr</f>
        <v/>
      </c>
      <c r="J53" s="24">
        <f>H53+I53</f>
        <v/>
      </c>
      <c r="K53" s="24">
        <f>-H53*OMTr</f>
        <v/>
      </c>
      <c r="L53" s="26">
        <f>J53+K53</f>
        <v/>
      </c>
      <c r="M53" s="25">
        <f>IFERROR(L53/J53,"")</f>
        <v/>
      </c>
      <c r="N53" s="24">
        <f>-H53*CapexMan</f>
        <v/>
      </c>
    </row>
    <row r="54">
      <c r="A54" s="23" t="n">
        <v>2075</v>
      </c>
      <c r="B54" s="24">
        <f>IF(A54&lt;=AnoUltLeilao,CapexRec,0)</f>
        <v/>
      </c>
      <c r="C54" s="24">
        <f>C53+B54</f>
        <v/>
      </c>
      <c r="D54" s="24">
        <f>SUMPRODUCT(($A$5:$A$59&lt;=A54-Lag)*($A$5:$A$59&gt;A54-Lag-PrazoNovo)*$B$5:$B$59)</f>
        <v/>
      </c>
      <c r="E54" s="24">
        <f>D54*YieldRAP*(1-Erosao)^(A54-AnoBase)</f>
        <v/>
      </c>
      <c r="F54" s="24">
        <f>RecTrAnual/(1-DedTr)*(1-Erosao)^(A54-AnoBase)</f>
        <v/>
      </c>
      <c r="G54" s="25">
        <f>IF(A54&lt;AnoIniVenc,1,MAX(0,1-(A54-AnoIniVenc+1)/(AnoFimVenc-AnoIniVenc+1)))</f>
        <v/>
      </c>
      <c r="H54" s="24">
        <f>F54*G54+E54</f>
        <v/>
      </c>
      <c r="I54" s="24">
        <f>-H54*DedTr</f>
        <v/>
      </c>
      <c r="J54" s="24">
        <f>H54+I54</f>
        <v/>
      </c>
      <c r="K54" s="24">
        <f>-H54*OMTr</f>
        <v/>
      </c>
      <c r="L54" s="26">
        <f>J54+K54</f>
        <v/>
      </c>
      <c r="M54" s="25">
        <f>IFERROR(L54/J54,"")</f>
        <v/>
      </c>
      <c r="N54" s="24">
        <f>-H54*CapexMan</f>
        <v/>
      </c>
    </row>
    <row r="55">
      <c r="A55" s="23" t="n">
        <v>2076</v>
      </c>
      <c r="B55" s="24">
        <f>IF(A55&lt;=AnoUltLeilao,CapexRec,0)</f>
        <v/>
      </c>
      <c r="C55" s="24">
        <f>C54+B55</f>
        <v/>
      </c>
      <c r="D55" s="24">
        <f>SUMPRODUCT(($A$5:$A$59&lt;=A55-Lag)*($A$5:$A$59&gt;A55-Lag-PrazoNovo)*$B$5:$B$59)</f>
        <v/>
      </c>
      <c r="E55" s="24">
        <f>D55*YieldRAP*(1-Erosao)^(A55-AnoBase)</f>
        <v/>
      </c>
      <c r="F55" s="24">
        <f>RecTrAnual/(1-DedTr)*(1-Erosao)^(A55-AnoBase)</f>
        <v/>
      </c>
      <c r="G55" s="25">
        <f>IF(A55&lt;AnoIniVenc,1,MAX(0,1-(A55-AnoIniVenc+1)/(AnoFimVenc-AnoIniVenc+1)))</f>
        <v/>
      </c>
      <c r="H55" s="24">
        <f>F55*G55+E55</f>
        <v/>
      </c>
      <c r="I55" s="24">
        <f>-H55*DedTr</f>
        <v/>
      </c>
      <c r="J55" s="24">
        <f>H55+I55</f>
        <v/>
      </c>
      <c r="K55" s="24">
        <f>-H55*OMTr</f>
        <v/>
      </c>
      <c r="L55" s="26">
        <f>J55+K55</f>
        <v/>
      </c>
      <c r="M55" s="25">
        <f>IFERROR(L55/J55,"")</f>
        <v/>
      </c>
      <c r="N55" s="24">
        <f>-H55*CapexMan</f>
        <v/>
      </c>
    </row>
    <row r="56">
      <c r="A56" s="23" t="n">
        <v>2077</v>
      </c>
      <c r="B56" s="24">
        <f>IF(A56&lt;=AnoUltLeilao,CapexRec,0)</f>
        <v/>
      </c>
      <c r="C56" s="24">
        <f>C55+B56</f>
        <v/>
      </c>
      <c r="D56" s="24">
        <f>SUMPRODUCT(($A$5:$A$59&lt;=A56-Lag)*($A$5:$A$59&gt;A56-Lag-PrazoNovo)*$B$5:$B$59)</f>
        <v/>
      </c>
      <c r="E56" s="24">
        <f>D56*YieldRAP*(1-Erosao)^(A56-AnoBase)</f>
        <v/>
      </c>
      <c r="F56" s="24">
        <f>RecTrAnual/(1-DedTr)*(1-Erosao)^(A56-AnoBase)</f>
        <v/>
      </c>
      <c r="G56" s="25">
        <f>IF(A56&lt;AnoIniVenc,1,MAX(0,1-(A56-AnoIniVenc+1)/(AnoFimVenc-AnoIniVenc+1)))</f>
        <v/>
      </c>
      <c r="H56" s="24">
        <f>F56*G56+E56</f>
        <v/>
      </c>
      <c r="I56" s="24">
        <f>-H56*DedTr</f>
        <v/>
      </c>
      <c r="J56" s="24">
        <f>H56+I56</f>
        <v/>
      </c>
      <c r="K56" s="24">
        <f>-H56*OMTr</f>
        <v/>
      </c>
      <c r="L56" s="26">
        <f>J56+K56</f>
        <v/>
      </c>
      <c r="M56" s="25">
        <f>IFERROR(L56/J56,"")</f>
        <v/>
      </c>
      <c r="N56" s="24">
        <f>-H56*CapexMan</f>
        <v/>
      </c>
    </row>
    <row r="57">
      <c r="A57" s="23" t="n">
        <v>2078</v>
      </c>
      <c r="B57" s="24">
        <f>IF(A57&lt;=AnoUltLeilao,CapexRec,0)</f>
        <v/>
      </c>
      <c r="C57" s="24">
        <f>C56+B57</f>
        <v/>
      </c>
      <c r="D57" s="24">
        <f>SUMPRODUCT(($A$5:$A$59&lt;=A57-Lag)*($A$5:$A$59&gt;A57-Lag-PrazoNovo)*$B$5:$B$59)</f>
        <v/>
      </c>
      <c r="E57" s="24">
        <f>D57*YieldRAP*(1-Erosao)^(A57-AnoBase)</f>
        <v/>
      </c>
      <c r="F57" s="24">
        <f>RecTrAnual/(1-DedTr)*(1-Erosao)^(A57-AnoBase)</f>
        <v/>
      </c>
      <c r="G57" s="25">
        <f>IF(A57&lt;AnoIniVenc,1,MAX(0,1-(A57-AnoIniVenc+1)/(AnoFimVenc-AnoIniVenc+1)))</f>
        <v/>
      </c>
      <c r="H57" s="24">
        <f>F57*G57+E57</f>
        <v/>
      </c>
      <c r="I57" s="24">
        <f>-H57*DedTr</f>
        <v/>
      </c>
      <c r="J57" s="24">
        <f>H57+I57</f>
        <v/>
      </c>
      <c r="K57" s="24">
        <f>-H57*OMTr</f>
        <v/>
      </c>
      <c r="L57" s="26">
        <f>J57+K57</f>
        <v/>
      </c>
      <c r="M57" s="25">
        <f>IFERROR(L57/J57,"")</f>
        <v/>
      </c>
      <c r="N57" s="24">
        <f>-H57*CapexMan</f>
        <v/>
      </c>
    </row>
    <row r="58">
      <c r="A58" s="23" t="n">
        <v>2079</v>
      </c>
      <c r="B58" s="24">
        <f>IF(A58&lt;=AnoUltLeilao,CapexRec,0)</f>
        <v/>
      </c>
      <c r="C58" s="24">
        <f>C57+B58</f>
        <v/>
      </c>
      <c r="D58" s="24">
        <f>SUMPRODUCT(($A$5:$A$59&lt;=A58-Lag)*($A$5:$A$59&gt;A58-Lag-PrazoNovo)*$B$5:$B$59)</f>
        <v/>
      </c>
      <c r="E58" s="24">
        <f>D58*YieldRAP*(1-Erosao)^(A58-AnoBase)</f>
        <v/>
      </c>
      <c r="F58" s="24">
        <f>RecTrAnual/(1-DedTr)*(1-Erosao)^(A58-AnoBase)</f>
        <v/>
      </c>
      <c r="G58" s="25">
        <f>IF(A58&lt;AnoIniVenc,1,MAX(0,1-(A58-AnoIniVenc+1)/(AnoFimVenc-AnoIniVenc+1)))</f>
        <v/>
      </c>
      <c r="H58" s="24">
        <f>F58*G58+E58</f>
        <v/>
      </c>
      <c r="I58" s="24">
        <f>-H58*DedTr</f>
        <v/>
      </c>
      <c r="J58" s="24">
        <f>H58+I58</f>
        <v/>
      </c>
      <c r="K58" s="24">
        <f>-H58*OMTr</f>
        <v/>
      </c>
      <c r="L58" s="26">
        <f>J58+K58</f>
        <v/>
      </c>
      <c r="M58" s="25">
        <f>IFERROR(L58/J58,"")</f>
        <v/>
      </c>
      <c r="N58" s="24">
        <f>-H58*CapexMan</f>
        <v/>
      </c>
    </row>
    <row r="59">
      <c r="A59" s="23" t="n">
        <v>2080</v>
      </c>
      <c r="B59" s="24">
        <f>IF(A59&lt;=AnoUltLeilao,CapexRec,0)</f>
        <v/>
      </c>
      <c r="C59" s="24">
        <f>C58+B59</f>
        <v/>
      </c>
      <c r="D59" s="24">
        <f>SUMPRODUCT(($A$5:$A$59&lt;=A59-Lag)*($A$5:$A$59&gt;A59-Lag-PrazoNovo)*$B$5:$B$59)</f>
        <v/>
      </c>
      <c r="E59" s="24">
        <f>D59*YieldRAP*(1-Erosao)^(A59-AnoBase)</f>
        <v/>
      </c>
      <c r="F59" s="24">
        <f>RecTrAnual/(1-DedTr)*(1-Erosao)^(A59-AnoBase)</f>
        <v/>
      </c>
      <c r="G59" s="25">
        <f>IF(A59&lt;AnoIniVenc,1,MAX(0,1-(A59-AnoIniVenc+1)/(AnoFimVenc-AnoIniVenc+1)))</f>
        <v/>
      </c>
      <c r="H59" s="24">
        <f>F59*G59+E59</f>
        <v/>
      </c>
      <c r="I59" s="24">
        <f>-H59*DedTr</f>
        <v/>
      </c>
      <c r="J59" s="24">
        <f>H59+I59</f>
        <v/>
      </c>
      <c r="K59" s="24">
        <f>-H59*OMTr</f>
        <v/>
      </c>
      <c r="L59" s="26">
        <f>J59+K59</f>
        <v/>
      </c>
      <c r="M59" s="25">
        <f>IFERROR(L59/J59,"")</f>
        <v/>
      </c>
      <c r="N59" s="24">
        <f>-H59*CapexMan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3" customWidth="1" min="4" max="4"/>
    <col width="11" customWidth="1" min="5" max="5"/>
    <col width="13" customWidth="1" min="6" max="6"/>
    <col width="11" customWidth="1" min="7" max="7"/>
    <col width="14" customWidth="1" min="8" max="8"/>
    <col width="15" customWidth="1" min="9" max="9"/>
    <col width="15" customWidth="1" min="10" max="10"/>
    <col width="14" customWidth="1" min="11" max="11"/>
    <col width="13" customWidth="1" min="12" max="12"/>
  </cols>
  <sheetData>
    <row r="1">
      <c r="A1" s="1" t="inlineStr">
        <is>
          <t>Geração — 798,5 MW instalados, fluxo contratado em termos reais (R$ mn)</t>
        </is>
      </c>
    </row>
    <row r="2">
      <c r="A2" s="4" t="inlineStr">
        <is>
          <t>Bloco deliberadamente simples: energia assegurada contratada a preço real constante até o fim das outorgas. É a parte do modelo com menos dado público por trás.</t>
        </is>
      </c>
    </row>
    <row r="4" ht="34" customHeight="1">
      <c r="A4" s="5" t="inlineStr">
        <is>
          <t>Ano</t>
        </is>
      </c>
      <c r="B4" s="5" t="inlineStr">
        <is>
          <t>Em outorga</t>
        </is>
      </c>
      <c r="C4" s="5" t="inlineStr">
        <is>
          <t>Energia (MW médio)</t>
        </is>
      </c>
      <c r="D4" s="5" t="inlineStr">
        <is>
          <t>Receita bruta</t>
        </is>
      </c>
      <c r="E4" s="5" t="inlineStr">
        <is>
          <t>Deduções</t>
        </is>
      </c>
      <c r="F4" s="5" t="inlineStr">
        <is>
          <t>Receita líquida</t>
        </is>
      </c>
      <c r="G4" s="5" t="inlineStr">
        <is>
          <t>Opex</t>
        </is>
      </c>
      <c r="H4" s="5" t="inlineStr">
        <is>
          <t>EBITDA geração</t>
        </is>
      </c>
      <c r="I4" s="5" t="inlineStr">
        <is>
          <t>Receita de comercialização</t>
        </is>
      </c>
      <c r="J4" s="5" t="inlineStr">
        <is>
          <t>EBITDA comercialização</t>
        </is>
      </c>
      <c r="K4" s="5" t="inlineStr">
        <is>
          <t>Receita líquida total</t>
        </is>
      </c>
      <c r="L4" s="5" t="inlineStr">
        <is>
          <t>EBITDA total</t>
        </is>
      </c>
    </row>
    <row r="5">
      <c r="A5" s="23" t="n">
        <v>2026</v>
      </c>
      <c r="B5" s="27">
        <f>IF(A5&lt;=AnoFimGer,1,0)</f>
        <v/>
      </c>
      <c r="C5" s="24">
        <f>MWmed*B5</f>
        <v/>
      </c>
      <c r="D5" s="24">
        <f>C5*8760*PxMWh/1000000</f>
        <v/>
      </c>
      <c r="E5" s="24">
        <f>-D5*DedGe</f>
        <v/>
      </c>
      <c r="F5" s="24">
        <f>D5+E5</f>
        <v/>
      </c>
      <c r="G5" s="24">
        <f>-F5*OMGe</f>
        <v/>
      </c>
      <c r="H5" s="24">
        <f>F5+G5</f>
        <v/>
      </c>
      <c r="I5" s="24">
        <f>ComercRec*B5</f>
        <v/>
      </c>
      <c r="J5" s="24">
        <f>I5*ComercMg</f>
        <v/>
      </c>
      <c r="K5" s="24">
        <f>F5+I5</f>
        <v/>
      </c>
      <c r="L5" s="26">
        <f>H5+J5</f>
        <v/>
      </c>
    </row>
    <row r="6">
      <c r="A6" s="23" t="n">
        <v>2027</v>
      </c>
      <c r="B6" s="27">
        <f>IF(A6&lt;=AnoFimGer,1,0)</f>
        <v/>
      </c>
      <c r="C6" s="24">
        <f>MWmed*B6</f>
        <v/>
      </c>
      <c r="D6" s="24">
        <f>C6*8760*PxMWh/1000000</f>
        <v/>
      </c>
      <c r="E6" s="24">
        <f>-D6*DedGe</f>
        <v/>
      </c>
      <c r="F6" s="24">
        <f>D6+E6</f>
        <v/>
      </c>
      <c r="G6" s="24">
        <f>-F6*OMGe</f>
        <v/>
      </c>
      <c r="H6" s="24">
        <f>F6+G6</f>
        <v/>
      </c>
      <c r="I6" s="24">
        <f>ComercRec*B6</f>
        <v/>
      </c>
      <c r="J6" s="24">
        <f>I6*ComercMg</f>
        <v/>
      </c>
      <c r="K6" s="24">
        <f>F6+I6</f>
        <v/>
      </c>
      <c r="L6" s="26">
        <f>H6+J6</f>
        <v/>
      </c>
    </row>
    <row r="7">
      <c r="A7" s="23" t="n">
        <v>2028</v>
      </c>
      <c r="B7" s="27">
        <f>IF(A7&lt;=AnoFimGer,1,0)</f>
        <v/>
      </c>
      <c r="C7" s="24">
        <f>MWmed*B7</f>
        <v/>
      </c>
      <c r="D7" s="24">
        <f>C7*8760*PxMWh/1000000</f>
        <v/>
      </c>
      <c r="E7" s="24">
        <f>-D7*DedGe</f>
        <v/>
      </c>
      <c r="F7" s="24">
        <f>D7+E7</f>
        <v/>
      </c>
      <c r="G7" s="24">
        <f>-F7*OMGe</f>
        <v/>
      </c>
      <c r="H7" s="24">
        <f>F7+G7</f>
        <v/>
      </c>
      <c r="I7" s="24">
        <f>ComercRec*B7</f>
        <v/>
      </c>
      <c r="J7" s="24">
        <f>I7*ComercMg</f>
        <v/>
      </c>
      <c r="K7" s="24">
        <f>F7+I7</f>
        <v/>
      </c>
      <c r="L7" s="26">
        <f>H7+J7</f>
        <v/>
      </c>
    </row>
    <row r="8">
      <c r="A8" s="23" t="n">
        <v>2029</v>
      </c>
      <c r="B8" s="27">
        <f>IF(A8&lt;=AnoFimGer,1,0)</f>
        <v/>
      </c>
      <c r="C8" s="24">
        <f>MWmed*B8</f>
        <v/>
      </c>
      <c r="D8" s="24">
        <f>C8*8760*PxMWh/1000000</f>
        <v/>
      </c>
      <c r="E8" s="24">
        <f>-D8*DedGe</f>
        <v/>
      </c>
      <c r="F8" s="24">
        <f>D8+E8</f>
        <v/>
      </c>
      <c r="G8" s="24">
        <f>-F8*OMGe</f>
        <v/>
      </c>
      <c r="H8" s="24">
        <f>F8+G8</f>
        <v/>
      </c>
      <c r="I8" s="24">
        <f>ComercRec*B8</f>
        <v/>
      </c>
      <c r="J8" s="24">
        <f>I8*ComercMg</f>
        <v/>
      </c>
      <c r="K8" s="24">
        <f>F8+I8</f>
        <v/>
      </c>
      <c r="L8" s="26">
        <f>H8+J8</f>
        <v/>
      </c>
    </row>
    <row r="9">
      <c r="A9" s="23" t="n">
        <v>2030</v>
      </c>
      <c r="B9" s="27">
        <f>IF(A9&lt;=AnoFimGer,1,0)</f>
        <v/>
      </c>
      <c r="C9" s="24">
        <f>MWmed*B9</f>
        <v/>
      </c>
      <c r="D9" s="24">
        <f>C9*8760*PxMWh/1000000</f>
        <v/>
      </c>
      <c r="E9" s="24">
        <f>-D9*DedGe</f>
        <v/>
      </c>
      <c r="F9" s="24">
        <f>D9+E9</f>
        <v/>
      </c>
      <c r="G9" s="24">
        <f>-F9*OMGe</f>
        <v/>
      </c>
      <c r="H9" s="24">
        <f>F9+G9</f>
        <v/>
      </c>
      <c r="I9" s="24">
        <f>ComercRec*B9</f>
        <v/>
      </c>
      <c r="J9" s="24">
        <f>I9*ComercMg</f>
        <v/>
      </c>
      <c r="K9" s="24">
        <f>F9+I9</f>
        <v/>
      </c>
      <c r="L9" s="26">
        <f>H9+J9</f>
        <v/>
      </c>
    </row>
    <row r="10">
      <c r="A10" s="23" t="n">
        <v>2031</v>
      </c>
      <c r="B10" s="27">
        <f>IF(A10&lt;=AnoFimGer,1,0)</f>
        <v/>
      </c>
      <c r="C10" s="24">
        <f>MWmed*B10</f>
        <v/>
      </c>
      <c r="D10" s="24">
        <f>C10*8760*PxMWh/1000000</f>
        <v/>
      </c>
      <c r="E10" s="24">
        <f>-D10*DedGe</f>
        <v/>
      </c>
      <c r="F10" s="24">
        <f>D10+E10</f>
        <v/>
      </c>
      <c r="G10" s="24">
        <f>-F10*OMGe</f>
        <v/>
      </c>
      <c r="H10" s="24">
        <f>F10+G10</f>
        <v/>
      </c>
      <c r="I10" s="24">
        <f>ComercRec*B10</f>
        <v/>
      </c>
      <c r="J10" s="24">
        <f>I10*ComercMg</f>
        <v/>
      </c>
      <c r="K10" s="24">
        <f>F10+I10</f>
        <v/>
      </c>
      <c r="L10" s="26">
        <f>H10+J10</f>
        <v/>
      </c>
    </row>
    <row r="11">
      <c r="A11" s="23" t="n">
        <v>2032</v>
      </c>
      <c r="B11" s="27">
        <f>IF(A11&lt;=AnoFimGer,1,0)</f>
        <v/>
      </c>
      <c r="C11" s="24">
        <f>MWmed*B11</f>
        <v/>
      </c>
      <c r="D11" s="24">
        <f>C11*8760*PxMWh/1000000</f>
        <v/>
      </c>
      <c r="E11" s="24">
        <f>-D11*DedGe</f>
        <v/>
      </c>
      <c r="F11" s="24">
        <f>D11+E11</f>
        <v/>
      </c>
      <c r="G11" s="24">
        <f>-F11*OMGe</f>
        <v/>
      </c>
      <c r="H11" s="24">
        <f>F11+G11</f>
        <v/>
      </c>
      <c r="I11" s="24">
        <f>ComercRec*B11</f>
        <v/>
      </c>
      <c r="J11" s="24">
        <f>I11*ComercMg</f>
        <v/>
      </c>
      <c r="K11" s="24">
        <f>F11+I11</f>
        <v/>
      </c>
      <c r="L11" s="26">
        <f>H11+J11</f>
        <v/>
      </c>
    </row>
    <row r="12">
      <c r="A12" s="23" t="n">
        <v>2033</v>
      </c>
      <c r="B12" s="27">
        <f>IF(A12&lt;=AnoFimGer,1,0)</f>
        <v/>
      </c>
      <c r="C12" s="24">
        <f>MWmed*B12</f>
        <v/>
      </c>
      <c r="D12" s="24">
        <f>C12*8760*PxMWh/1000000</f>
        <v/>
      </c>
      <c r="E12" s="24">
        <f>-D12*DedGe</f>
        <v/>
      </c>
      <c r="F12" s="24">
        <f>D12+E12</f>
        <v/>
      </c>
      <c r="G12" s="24">
        <f>-F12*OMGe</f>
        <v/>
      </c>
      <c r="H12" s="24">
        <f>F12+G12</f>
        <v/>
      </c>
      <c r="I12" s="24">
        <f>ComercRec*B12</f>
        <v/>
      </c>
      <c r="J12" s="24">
        <f>I12*ComercMg</f>
        <v/>
      </c>
      <c r="K12" s="24">
        <f>F12+I12</f>
        <v/>
      </c>
      <c r="L12" s="26">
        <f>H12+J12</f>
        <v/>
      </c>
    </row>
    <row r="13">
      <c r="A13" s="23" t="n">
        <v>2034</v>
      </c>
      <c r="B13" s="27">
        <f>IF(A13&lt;=AnoFimGer,1,0)</f>
        <v/>
      </c>
      <c r="C13" s="24">
        <f>MWmed*B13</f>
        <v/>
      </c>
      <c r="D13" s="24">
        <f>C13*8760*PxMWh/1000000</f>
        <v/>
      </c>
      <c r="E13" s="24">
        <f>-D13*DedGe</f>
        <v/>
      </c>
      <c r="F13" s="24">
        <f>D13+E13</f>
        <v/>
      </c>
      <c r="G13" s="24">
        <f>-F13*OMGe</f>
        <v/>
      </c>
      <c r="H13" s="24">
        <f>F13+G13</f>
        <v/>
      </c>
      <c r="I13" s="24">
        <f>ComercRec*B13</f>
        <v/>
      </c>
      <c r="J13" s="24">
        <f>I13*ComercMg</f>
        <v/>
      </c>
      <c r="K13" s="24">
        <f>F13+I13</f>
        <v/>
      </c>
      <c r="L13" s="26">
        <f>H13+J13</f>
        <v/>
      </c>
    </row>
    <row r="14">
      <c r="A14" s="23" t="n">
        <v>2035</v>
      </c>
      <c r="B14" s="27">
        <f>IF(A14&lt;=AnoFimGer,1,0)</f>
        <v/>
      </c>
      <c r="C14" s="24">
        <f>MWmed*B14</f>
        <v/>
      </c>
      <c r="D14" s="24">
        <f>C14*8760*PxMWh/1000000</f>
        <v/>
      </c>
      <c r="E14" s="24">
        <f>-D14*DedGe</f>
        <v/>
      </c>
      <c r="F14" s="24">
        <f>D14+E14</f>
        <v/>
      </c>
      <c r="G14" s="24">
        <f>-F14*OMGe</f>
        <v/>
      </c>
      <c r="H14" s="24">
        <f>F14+G14</f>
        <v/>
      </c>
      <c r="I14" s="24">
        <f>ComercRec*B14</f>
        <v/>
      </c>
      <c r="J14" s="24">
        <f>I14*ComercMg</f>
        <v/>
      </c>
      <c r="K14" s="24">
        <f>F14+I14</f>
        <v/>
      </c>
      <c r="L14" s="26">
        <f>H14+J14</f>
        <v/>
      </c>
    </row>
    <row r="15">
      <c r="A15" s="23" t="n">
        <v>2036</v>
      </c>
      <c r="B15" s="27">
        <f>IF(A15&lt;=AnoFimGer,1,0)</f>
        <v/>
      </c>
      <c r="C15" s="24">
        <f>MWmed*B15</f>
        <v/>
      </c>
      <c r="D15" s="24">
        <f>C15*8760*PxMWh/1000000</f>
        <v/>
      </c>
      <c r="E15" s="24">
        <f>-D15*DedGe</f>
        <v/>
      </c>
      <c r="F15" s="24">
        <f>D15+E15</f>
        <v/>
      </c>
      <c r="G15" s="24">
        <f>-F15*OMGe</f>
        <v/>
      </c>
      <c r="H15" s="24">
        <f>F15+G15</f>
        <v/>
      </c>
      <c r="I15" s="24">
        <f>ComercRec*B15</f>
        <v/>
      </c>
      <c r="J15" s="24">
        <f>I15*ComercMg</f>
        <v/>
      </c>
      <c r="K15" s="24">
        <f>F15+I15</f>
        <v/>
      </c>
      <c r="L15" s="26">
        <f>H15+J15</f>
        <v/>
      </c>
    </row>
    <row r="16">
      <c r="A16" s="23" t="n">
        <v>2037</v>
      </c>
      <c r="B16" s="27">
        <f>IF(A16&lt;=AnoFimGer,1,0)</f>
        <v/>
      </c>
      <c r="C16" s="24">
        <f>MWmed*B16</f>
        <v/>
      </c>
      <c r="D16" s="24">
        <f>C16*8760*PxMWh/1000000</f>
        <v/>
      </c>
      <c r="E16" s="24">
        <f>-D16*DedGe</f>
        <v/>
      </c>
      <c r="F16" s="24">
        <f>D16+E16</f>
        <v/>
      </c>
      <c r="G16" s="24">
        <f>-F16*OMGe</f>
        <v/>
      </c>
      <c r="H16" s="24">
        <f>F16+G16</f>
        <v/>
      </c>
      <c r="I16" s="24">
        <f>ComercRec*B16</f>
        <v/>
      </c>
      <c r="J16" s="24">
        <f>I16*ComercMg</f>
        <v/>
      </c>
      <c r="K16" s="24">
        <f>F16+I16</f>
        <v/>
      </c>
      <c r="L16" s="26">
        <f>H16+J16</f>
        <v/>
      </c>
    </row>
    <row r="17">
      <c r="A17" s="23" t="n">
        <v>2038</v>
      </c>
      <c r="B17" s="27">
        <f>IF(A17&lt;=AnoFimGer,1,0)</f>
        <v/>
      </c>
      <c r="C17" s="24">
        <f>MWmed*B17</f>
        <v/>
      </c>
      <c r="D17" s="24">
        <f>C17*8760*PxMWh/1000000</f>
        <v/>
      </c>
      <c r="E17" s="24">
        <f>-D17*DedGe</f>
        <v/>
      </c>
      <c r="F17" s="24">
        <f>D17+E17</f>
        <v/>
      </c>
      <c r="G17" s="24">
        <f>-F17*OMGe</f>
        <v/>
      </c>
      <c r="H17" s="24">
        <f>F17+G17</f>
        <v/>
      </c>
      <c r="I17" s="24">
        <f>ComercRec*B17</f>
        <v/>
      </c>
      <c r="J17" s="24">
        <f>I17*ComercMg</f>
        <v/>
      </c>
      <c r="K17" s="24">
        <f>F17+I17</f>
        <v/>
      </c>
      <c r="L17" s="26">
        <f>H17+J17</f>
        <v/>
      </c>
    </row>
    <row r="18">
      <c r="A18" s="23" t="n">
        <v>2039</v>
      </c>
      <c r="B18" s="27">
        <f>IF(A18&lt;=AnoFimGer,1,0)</f>
        <v/>
      </c>
      <c r="C18" s="24">
        <f>MWmed*B18</f>
        <v/>
      </c>
      <c r="D18" s="24">
        <f>C18*8760*PxMWh/1000000</f>
        <v/>
      </c>
      <c r="E18" s="24">
        <f>-D18*DedGe</f>
        <v/>
      </c>
      <c r="F18" s="24">
        <f>D18+E18</f>
        <v/>
      </c>
      <c r="G18" s="24">
        <f>-F18*OMGe</f>
        <v/>
      </c>
      <c r="H18" s="24">
        <f>F18+G18</f>
        <v/>
      </c>
      <c r="I18" s="24">
        <f>ComercRec*B18</f>
        <v/>
      </c>
      <c r="J18" s="24">
        <f>I18*ComercMg</f>
        <v/>
      </c>
      <c r="K18" s="24">
        <f>F18+I18</f>
        <v/>
      </c>
      <c r="L18" s="26">
        <f>H18+J18</f>
        <v/>
      </c>
    </row>
    <row r="19">
      <c r="A19" s="23" t="n">
        <v>2040</v>
      </c>
      <c r="B19" s="27">
        <f>IF(A19&lt;=AnoFimGer,1,0)</f>
        <v/>
      </c>
      <c r="C19" s="24">
        <f>MWmed*B19</f>
        <v/>
      </c>
      <c r="D19" s="24">
        <f>C19*8760*PxMWh/1000000</f>
        <v/>
      </c>
      <c r="E19" s="24">
        <f>-D19*DedGe</f>
        <v/>
      </c>
      <c r="F19" s="24">
        <f>D19+E19</f>
        <v/>
      </c>
      <c r="G19" s="24">
        <f>-F19*OMGe</f>
        <v/>
      </c>
      <c r="H19" s="24">
        <f>F19+G19</f>
        <v/>
      </c>
      <c r="I19" s="24">
        <f>ComercRec*B19</f>
        <v/>
      </c>
      <c r="J19" s="24">
        <f>I19*ComercMg</f>
        <v/>
      </c>
      <c r="K19" s="24">
        <f>F19+I19</f>
        <v/>
      </c>
      <c r="L19" s="26">
        <f>H19+J19</f>
        <v/>
      </c>
    </row>
    <row r="20">
      <c r="A20" s="23" t="n">
        <v>2041</v>
      </c>
      <c r="B20" s="27">
        <f>IF(A20&lt;=AnoFimGer,1,0)</f>
        <v/>
      </c>
      <c r="C20" s="24">
        <f>MWmed*B20</f>
        <v/>
      </c>
      <c r="D20" s="24">
        <f>C20*8760*PxMWh/1000000</f>
        <v/>
      </c>
      <c r="E20" s="24">
        <f>-D20*DedGe</f>
        <v/>
      </c>
      <c r="F20" s="24">
        <f>D20+E20</f>
        <v/>
      </c>
      <c r="G20" s="24">
        <f>-F20*OMGe</f>
        <v/>
      </c>
      <c r="H20" s="24">
        <f>F20+G20</f>
        <v/>
      </c>
      <c r="I20" s="24">
        <f>ComercRec*B20</f>
        <v/>
      </c>
      <c r="J20" s="24">
        <f>I20*ComercMg</f>
        <v/>
      </c>
      <c r="K20" s="24">
        <f>F20+I20</f>
        <v/>
      </c>
      <c r="L20" s="26">
        <f>H20+J20</f>
        <v/>
      </c>
    </row>
    <row r="21">
      <c r="A21" s="23" t="n">
        <v>2042</v>
      </c>
      <c r="B21" s="27">
        <f>IF(A21&lt;=AnoFimGer,1,0)</f>
        <v/>
      </c>
      <c r="C21" s="24">
        <f>MWmed*B21</f>
        <v/>
      </c>
      <c r="D21" s="24">
        <f>C21*8760*PxMWh/1000000</f>
        <v/>
      </c>
      <c r="E21" s="24">
        <f>-D21*DedGe</f>
        <v/>
      </c>
      <c r="F21" s="24">
        <f>D21+E21</f>
        <v/>
      </c>
      <c r="G21" s="24">
        <f>-F21*OMGe</f>
        <v/>
      </c>
      <c r="H21" s="24">
        <f>F21+G21</f>
        <v/>
      </c>
      <c r="I21" s="24">
        <f>ComercRec*B21</f>
        <v/>
      </c>
      <c r="J21" s="24">
        <f>I21*ComercMg</f>
        <v/>
      </c>
      <c r="K21" s="24">
        <f>F21+I21</f>
        <v/>
      </c>
      <c r="L21" s="26">
        <f>H21+J21</f>
        <v/>
      </c>
    </row>
    <row r="22">
      <c r="A22" s="23" t="n">
        <v>2043</v>
      </c>
      <c r="B22" s="27">
        <f>IF(A22&lt;=AnoFimGer,1,0)</f>
        <v/>
      </c>
      <c r="C22" s="24">
        <f>MWmed*B22</f>
        <v/>
      </c>
      <c r="D22" s="24">
        <f>C22*8760*PxMWh/1000000</f>
        <v/>
      </c>
      <c r="E22" s="24">
        <f>-D22*DedGe</f>
        <v/>
      </c>
      <c r="F22" s="24">
        <f>D22+E22</f>
        <v/>
      </c>
      <c r="G22" s="24">
        <f>-F22*OMGe</f>
        <v/>
      </c>
      <c r="H22" s="24">
        <f>F22+G22</f>
        <v/>
      </c>
      <c r="I22" s="24">
        <f>ComercRec*B22</f>
        <v/>
      </c>
      <c r="J22" s="24">
        <f>I22*ComercMg</f>
        <v/>
      </c>
      <c r="K22" s="24">
        <f>F22+I22</f>
        <v/>
      </c>
      <c r="L22" s="26">
        <f>H22+J22</f>
        <v/>
      </c>
    </row>
    <row r="23">
      <c r="A23" s="23" t="n">
        <v>2044</v>
      </c>
      <c r="B23" s="27">
        <f>IF(A23&lt;=AnoFimGer,1,0)</f>
        <v/>
      </c>
      <c r="C23" s="24">
        <f>MWmed*B23</f>
        <v/>
      </c>
      <c r="D23" s="24">
        <f>C23*8760*PxMWh/1000000</f>
        <v/>
      </c>
      <c r="E23" s="24">
        <f>-D23*DedGe</f>
        <v/>
      </c>
      <c r="F23" s="24">
        <f>D23+E23</f>
        <v/>
      </c>
      <c r="G23" s="24">
        <f>-F23*OMGe</f>
        <v/>
      </c>
      <c r="H23" s="24">
        <f>F23+G23</f>
        <v/>
      </c>
      <c r="I23" s="24">
        <f>ComercRec*B23</f>
        <v/>
      </c>
      <c r="J23" s="24">
        <f>I23*ComercMg</f>
        <v/>
      </c>
      <c r="K23" s="24">
        <f>F23+I23</f>
        <v/>
      </c>
      <c r="L23" s="26">
        <f>H23+J23</f>
        <v/>
      </c>
    </row>
    <row r="24">
      <c r="A24" s="23" t="n">
        <v>2045</v>
      </c>
      <c r="B24" s="27">
        <f>IF(A24&lt;=AnoFimGer,1,0)</f>
        <v/>
      </c>
      <c r="C24" s="24">
        <f>MWmed*B24</f>
        <v/>
      </c>
      <c r="D24" s="24">
        <f>C24*8760*PxMWh/1000000</f>
        <v/>
      </c>
      <c r="E24" s="24">
        <f>-D24*DedGe</f>
        <v/>
      </c>
      <c r="F24" s="24">
        <f>D24+E24</f>
        <v/>
      </c>
      <c r="G24" s="24">
        <f>-F24*OMGe</f>
        <v/>
      </c>
      <c r="H24" s="24">
        <f>F24+G24</f>
        <v/>
      </c>
      <c r="I24" s="24">
        <f>ComercRec*B24</f>
        <v/>
      </c>
      <c r="J24" s="24">
        <f>I24*ComercMg</f>
        <v/>
      </c>
      <c r="K24" s="24">
        <f>F24+I24</f>
        <v/>
      </c>
      <c r="L24" s="26">
        <f>H24+J24</f>
        <v/>
      </c>
    </row>
    <row r="25">
      <c r="A25" s="23" t="n">
        <v>2046</v>
      </c>
      <c r="B25" s="27">
        <f>IF(A25&lt;=AnoFimGer,1,0)</f>
        <v/>
      </c>
      <c r="C25" s="24">
        <f>MWmed*B25</f>
        <v/>
      </c>
      <c r="D25" s="24">
        <f>C25*8760*PxMWh/1000000</f>
        <v/>
      </c>
      <c r="E25" s="24">
        <f>-D25*DedGe</f>
        <v/>
      </c>
      <c r="F25" s="24">
        <f>D25+E25</f>
        <v/>
      </c>
      <c r="G25" s="24">
        <f>-F25*OMGe</f>
        <v/>
      </c>
      <c r="H25" s="24">
        <f>F25+G25</f>
        <v/>
      </c>
      <c r="I25" s="24">
        <f>ComercRec*B25</f>
        <v/>
      </c>
      <c r="J25" s="24">
        <f>I25*ComercMg</f>
        <v/>
      </c>
      <c r="K25" s="24">
        <f>F25+I25</f>
        <v/>
      </c>
      <c r="L25" s="26">
        <f>H25+J25</f>
        <v/>
      </c>
    </row>
    <row r="26">
      <c r="A26" s="23" t="n">
        <v>2047</v>
      </c>
      <c r="B26" s="27">
        <f>IF(A26&lt;=AnoFimGer,1,0)</f>
        <v/>
      </c>
      <c r="C26" s="24">
        <f>MWmed*B26</f>
        <v/>
      </c>
      <c r="D26" s="24">
        <f>C26*8760*PxMWh/1000000</f>
        <v/>
      </c>
      <c r="E26" s="24">
        <f>-D26*DedGe</f>
        <v/>
      </c>
      <c r="F26" s="24">
        <f>D26+E26</f>
        <v/>
      </c>
      <c r="G26" s="24">
        <f>-F26*OMGe</f>
        <v/>
      </c>
      <c r="H26" s="24">
        <f>F26+G26</f>
        <v/>
      </c>
      <c r="I26" s="24">
        <f>ComercRec*B26</f>
        <v/>
      </c>
      <c r="J26" s="24">
        <f>I26*ComercMg</f>
        <v/>
      </c>
      <c r="K26" s="24">
        <f>F26+I26</f>
        <v/>
      </c>
      <c r="L26" s="26">
        <f>H26+J26</f>
        <v/>
      </c>
    </row>
    <row r="27">
      <c r="A27" s="23" t="n">
        <v>2048</v>
      </c>
      <c r="B27" s="27">
        <f>IF(A27&lt;=AnoFimGer,1,0)</f>
        <v/>
      </c>
      <c r="C27" s="24">
        <f>MWmed*B27</f>
        <v/>
      </c>
      <c r="D27" s="24">
        <f>C27*8760*PxMWh/1000000</f>
        <v/>
      </c>
      <c r="E27" s="24">
        <f>-D27*DedGe</f>
        <v/>
      </c>
      <c r="F27" s="24">
        <f>D27+E27</f>
        <v/>
      </c>
      <c r="G27" s="24">
        <f>-F27*OMGe</f>
        <v/>
      </c>
      <c r="H27" s="24">
        <f>F27+G27</f>
        <v/>
      </c>
      <c r="I27" s="24">
        <f>ComercRec*B27</f>
        <v/>
      </c>
      <c r="J27" s="24">
        <f>I27*ComercMg</f>
        <v/>
      </c>
      <c r="K27" s="24">
        <f>F27+I27</f>
        <v/>
      </c>
      <c r="L27" s="26">
        <f>H27+J27</f>
        <v/>
      </c>
    </row>
    <row r="28">
      <c r="A28" s="23" t="n">
        <v>2049</v>
      </c>
      <c r="B28" s="27">
        <f>IF(A28&lt;=AnoFimGer,1,0)</f>
        <v/>
      </c>
      <c r="C28" s="24">
        <f>MWmed*B28</f>
        <v/>
      </c>
      <c r="D28" s="24">
        <f>C28*8760*PxMWh/1000000</f>
        <v/>
      </c>
      <c r="E28" s="24">
        <f>-D28*DedGe</f>
        <v/>
      </c>
      <c r="F28" s="24">
        <f>D28+E28</f>
        <v/>
      </c>
      <c r="G28" s="24">
        <f>-F28*OMGe</f>
        <v/>
      </c>
      <c r="H28" s="24">
        <f>F28+G28</f>
        <v/>
      </c>
      <c r="I28" s="24">
        <f>ComercRec*B28</f>
        <v/>
      </c>
      <c r="J28" s="24">
        <f>I28*ComercMg</f>
        <v/>
      </c>
      <c r="K28" s="24">
        <f>F28+I28</f>
        <v/>
      </c>
      <c r="L28" s="26">
        <f>H28+J28</f>
        <v/>
      </c>
    </row>
    <row r="29">
      <c r="A29" s="23" t="n">
        <v>2050</v>
      </c>
      <c r="B29" s="27">
        <f>IF(A29&lt;=AnoFimGer,1,0)</f>
        <v/>
      </c>
      <c r="C29" s="24">
        <f>MWmed*B29</f>
        <v/>
      </c>
      <c r="D29" s="24">
        <f>C29*8760*PxMWh/1000000</f>
        <v/>
      </c>
      <c r="E29" s="24">
        <f>-D29*DedGe</f>
        <v/>
      </c>
      <c r="F29" s="24">
        <f>D29+E29</f>
        <v/>
      </c>
      <c r="G29" s="24">
        <f>-F29*OMGe</f>
        <v/>
      </c>
      <c r="H29" s="24">
        <f>F29+G29</f>
        <v/>
      </c>
      <c r="I29" s="24">
        <f>ComercRec*B29</f>
        <v/>
      </c>
      <c r="J29" s="24">
        <f>I29*ComercMg</f>
        <v/>
      </c>
      <c r="K29" s="24">
        <f>F29+I29</f>
        <v/>
      </c>
      <c r="L29" s="26">
        <f>H29+J29</f>
        <v/>
      </c>
    </row>
    <row r="30">
      <c r="A30" s="23" t="n">
        <v>2051</v>
      </c>
      <c r="B30" s="27">
        <f>IF(A30&lt;=AnoFimGer,1,0)</f>
        <v/>
      </c>
      <c r="C30" s="24">
        <f>MWmed*B30</f>
        <v/>
      </c>
      <c r="D30" s="24">
        <f>C30*8760*PxMWh/1000000</f>
        <v/>
      </c>
      <c r="E30" s="24">
        <f>-D30*DedGe</f>
        <v/>
      </c>
      <c r="F30" s="24">
        <f>D30+E30</f>
        <v/>
      </c>
      <c r="G30" s="24">
        <f>-F30*OMGe</f>
        <v/>
      </c>
      <c r="H30" s="24">
        <f>F30+G30</f>
        <v/>
      </c>
      <c r="I30" s="24">
        <f>ComercRec*B30</f>
        <v/>
      </c>
      <c r="J30" s="24">
        <f>I30*ComercMg</f>
        <v/>
      </c>
      <c r="K30" s="24">
        <f>F30+I30</f>
        <v/>
      </c>
      <c r="L30" s="26">
        <f>H30+J30</f>
        <v/>
      </c>
    </row>
    <row r="31">
      <c r="A31" s="23" t="n">
        <v>2052</v>
      </c>
      <c r="B31" s="27">
        <f>IF(A31&lt;=AnoFimGer,1,0)</f>
        <v/>
      </c>
      <c r="C31" s="24">
        <f>MWmed*B31</f>
        <v/>
      </c>
      <c r="D31" s="24">
        <f>C31*8760*PxMWh/1000000</f>
        <v/>
      </c>
      <c r="E31" s="24">
        <f>-D31*DedGe</f>
        <v/>
      </c>
      <c r="F31" s="24">
        <f>D31+E31</f>
        <v/>
      </c>
      <c r="G31" s="24">
        <f>-F31*OMGe</f>
        <v/>
      </c>
      <c r="H31" s="24">
        <f>F31+G31</f>
        <v/>
      </c>
      <c r="I31" s="24">
        <f>ComercRec*B31</f>
        <v/>
      </c>
      <c r="J31" s="24">
        <f>I31*ComercMg</f>
        <v/>
      </c>
      <c r="K31" s="24">
        <f>F31+I31</f>
        <v/>
      </c>
      <c r="L31" s="26">
        <f>H31+J31</f>
        <v/>
      </c>
    </row>
    <row r="32">
      <c r="A32" s="23" t="n">
        <v>2053</v>
      </c>
      <c r="B32" s="27">
        <f>IF(A32&lt;=AnoFimGer,1,0)</f>
        <v/>
      </c>
      <c r="C32" s="24">
        <f>MWmed*B32</f>
        <v/>
      </c>
      <c r="D32" s="24">
        <f>C32*8760*PxMWh/1000000</f>
        <v/>
      </c>
      <c r="E32" s="24">
        <f>-D32*DedGe</f>
        <v/>
      </c>
      <c r="F32" s="24">
        <f>D32+E32</f>
        <v/>
      </c>
      <c r="G32" s="24">
        <f>-F32*OMGe</f>
        <v/>
      </c>
      <c r="H32" s="24">
        <f>F32+G32</f>
        <v/>
      </c>
      <c r="I32" s="24">
        <f>ComercRec*B32</f>
        <v/>
      </c>
      <c r="J32" s="24">
        <f>I32*ComercMg</f>
        <v/>
      </c>
      <c r="K32" s="24">
        <f>F32+I32</f>
        <v/>
      </c>
      <c r="L32" s="26">
        <f>H32+J32</f>
        <v/>
      </c>
    </row>
    <row r="33">
      <c r="A33" s="23" t="n">
        <v>2054</v>
      </c>
      <c r="B33" s="27">
        <f>IF(A33&lt;=AnoFimGer,1,0)</f>
        <v/>
      </c>
      <c r="C33" s="24">
        <f>MWmed*B33</f>
        <v/>
      </c>
      <c r="D33" s="24">
        <f>C33*8760*PxMWh/1000000</f>
        <v/>
      </c>
      <c r="E33" s="24">
        <f>-D33*DedGe</f>
        <v/>
      </c>
      <c r="F33" s="24">
        <f>D33+E33</f>
        <v/>
      </c>
      <c r="G33" s="24">
        <f>-F33*OMGe</f>
        <v/>
      </c>
      <c r="H33" s="24">
        <f>F33+G33</f>
        <v/>
      </c>
      <c r="I33" s="24">
        <f>ComercRec*B33</f>
        <v/>
      </c>
      <c r="J33" s="24">
        <f>I33*ComercMg</f>
        <v/>
      </c>
      <c r="K33" s="24">
        <f>F33+I33</f>
        <v/>
      </c>
      <c r="L33" s="26">
        <f>H33+J33</f>
        <v/>
      </c>
    </row>
    <row r="34">
      <c r="A34" s="23" t="n">
        <v>2055</v>
      </c>
      <c r="B34" s="27">
        <f>IF(A34&lt;=AnoFimGer,1,0)</f>
        <v/>
      </c>
      <c r="C34" s="24">
        <f>MWmed*B34</f>
        <v/>
      </c>
      <c r="D34" s="24">
        <f>C34*8760*PxMWh/1000000</f>
        <v/>
      </c>
      <c r="E34" s="24">
        <f>-D34*DedGe</f>
        <v/>
      </c>
      <c r="F34" s="24">
        <f>D34+E34</f>
        <v/>
      </c>
      <c r="G34" s="24">
        <f>-F34*OMGe</f>
        <v/>
      </c>
      <c r="H34" s="24">
        <f>F34+G34</f>
        <v/>
      </c>
      <c r="I34" s="24">
        <f>ComercRec*B34</f>
        <v/>
      </c>
      <c r="J34" s="24">
        <f>I34*ComercMg</f>
        <v/>
      </c>
      <c r="K34" s="24">
        <f>F34+I34</f>
        <v/>
      </c>
      <c r="L34" s="26">
        <f>H34+J34</f>
        <v/>
      </c>
    </row>
    <row r="35">
      <c r="A35" s="23" t="n">
        <v>2056</v>
      </c>
      <c r="B35" s="27">
        <f>IF(A35&lt;=AnoFimGer,1,0)</f>
        <v/>
      </c>
      <c r="C35" s="24">
        <f>MWmed*B35</f>
        <v/>
      </c>
      <c r="D35" s="24">
        <f>C35*8760*PxMWh/1000000</f>
        <v/>
      </c>
      <c r="E35" s="24">
        <f>-D35*DedGe</f>
        <v/>
      </c>
      <c r="F35" s="24">
        <f>D35+E35</f>
        <v/>
      </c>
      <c r="G35" s="24">
        <f>-F35*OMGe</f>
        <v/>
      </c>
      <c r="H35" s="24">
        <f>F35+G35</f>
        <v/>
      </c>
      <c r="I35" s="24">
        <f>ComercRec*B35</f>
        <v/>
      </c>
      <c r="J35" s="24">
        <f>I35*ComercMg</f>
        <v/>
      </c>
      <c r="K35" s="24">
        <f>F35+I35</f>
        <v/>
      </c>
      <c r="L35" s="26">
        <f>H35+J35</f>
        <v/>
      </c>
    </row>
    <row r="36">
      <c r="A36" s="23" t="n">
        <v>2057</v>
      </c>
      <c r="B36" s="27">
        <f>IF(A36&lt;=AnoFimGer,1,0)</f>
        <v/>
      </c>
      <c r="C36" s="24">
        <f>MWmed*B36</f>
        <v/>
      </c>
      <c r="D36" s="24">
        <f>C36*8760*PxMWh/1000000</f>
        <v/>
      </c>
      <c r="E36" s="24">
        <f>-D36*DedGe</f>
        <v/>
      </c>
      <c r="F36" s="24">
        <f>D36+E36</f>
        <v/>
      </c>
      <c r="G36" s="24">
        <f>-F36*OMGe</f>
        <v/>
      </c>
      <c r="H36" s="24">
        <f>F36+G36</f>
        <v/>
      </c>
      <c r="I36" s="24">
        <f>ComercRec*B36</f>
        <v/>
      </c>
      <c r="J36" s="24">
        <f>I36*ComercMg</f>
        <v/>
      </c>
      <c r="K36" s="24">
        <f>F36+I36</f>
        <v/>
      </c>
      <c r="L36" s="26">
        <f>H36+J36</f>
        <v/>
      </c>
    </row>
    <row r="37">
      <c r="A37" s="23" t="n">
        <v>2058</v>
      </c>
      <c r="B37" s="27">
        <f>IF(A37&lt;=AnoFimGer,1,0)</f>
        <v/>
      </c>
      <c r="C37" s="24">
        <f>MWmed*B37</f>
        <v/>
      </c>
      <c r="D37" s="24">
        <f>C37*8760*PxMWh/1000000</f>
        <v/>
      </c>
      <c r="E37" s="24">
        <f>-D37*DedGe</f>
        <v/>
      </c>
      <c r="F37" s="24">
        <f>D37+E37</f>
        <v/>
      </c>
      <c r="G37" s="24">
        <f>-F37*OMGe</f>
        <v/>
      </c>
      <c r="H37" s="24">
        <f>F37+G37</f>
        <v/>
      </c>
      <c r="I37" s="24">
        <f>ComercRec*B37</f>
        <v/>
      </c>
      <c r="J37" s="24">
        <f>I37*ComercMg</f>
        <v/>
      </c>
      <c r="K37" s="24">
        <f>F37+I37</f>
        <v/>
      </c>
      <c r="L37" s="26">
        <f>H37+J37</f>
        <v/>
      </c>
    </row>
    <row r="38">
      <c r="A38" s="23" t="n">
        <v>2059</v>
      </c>
      <c r="B38" s="27">
        <f>IF(A38&lt;=AnoFimGer,1,0)</f>
        <v/>
      </c>
      <c r="C38" s="24">
        <f>MWmed*B38</f>
        <v/>
      </c>
      <c r="D38" s="24">
        <f>C38*8760*PxMWh/1000000</f>
        <v/>
      </c>
      <c r="E38" s="24">
        <f>-D38*DedGe</f>
        <v/>
      </c>
      <c r="F38" s="24">
        <f>D38+E38</f>
        <v/>
      </c>
      <c r="G38" s="24">
        <f>-F38*OMGe</f>
        <v/>
      </c>
      <c r="H38" s="24">
        <f>F38+G38</f>
        <v/>
      </c>
      <c r="I38" s="24">
        <f>ComercRec*B38</f>
        <v/>
      </c>
      <c r="J38" s="24">
        <f>I38*ComercMg</f>
        <v/>
      </c>
      <c r="K38" s="24">
        <f>F38+I38</f>
        <v/>
      </c>
      <c r="L38" s="26">
        <f>H38+J38</f>
        <v/>
      </c>
    </row>
    <row r="39">
      <c r="A39" s="23" t="n">
        <v>2060</v>
      </c>
      <c r="B39" s="27">
        <f>IF(A39&lt;=AnoFimGer,1,0)</f>
        <v/>
      </c>
      <c r="C39" s="24">
        <f>MWmed*B39</f>
        <v/>
      </c>
      <c r="D39" s="24">
        <f>C39*8760*PxMWh/1000000</f>
        <v/>
      </c>
      <c r="E39" s="24">
        <f>-D39*DedGe</f>
        <v/>
      </c>
      <c r="F39" s="24">
        <f>D39+E39</f>
        <v/>
      </c>
      <c r="G39" s="24">
        <f>-F39*OMGe</f>
        <v/>
      </c>
      <c r="H39" s="24">
        <f>F39+G39</f>
        <v/>
      </c>
      <c r="I39" s="24">
        <f>ComercRec*B39</f>
        <v/>
      </c>
      <c r="J39" s="24">
        <f>I39*ComercMg</f>
        <v/>
      </c>
      <c r="K39" s="24">
        <f>F39+I39</f>
        <v/>
      </c>
      <c r="L39" s="26">
        <f>H39+J39</f>
        <v/>
      </c>
    </row>
    <row r="40">
      <c r="A40" s="23" t="n">
        <v>2061</v>
      </c>
      <c r="B40" s="27">
        <f>IF(A40&lt;=AnoFimGer,1,0)</f>
        <v/>
      </c>
      <c r="C40" s="24">
        <f>MWmed*B40</f>
        <v/>
      </c>
      <c r="D40" s="24">
        <f>C40*8760*PxMWh/1000000</f>
        <v/>
      </c>
      <c r="E40" s="24">
        <f>-D40*DedGe</f>
        <v/>
      </c>
      <c r="F40" s="24">
        <f>D40+E40</f>
        <v/>
      </c>
      <c r="G40" s="24">
        <f>-F40*OMGe</f>
        <v/>
      </c>
      <c r="H40" s="24">
        <f>F40+G40</f>
        <v/>
      </c>
      <c r="I40" s="24">
        <f>ComercRec*B40</f>
        <v/>
      </c>
      <c r="J40" s="24">
        <f>I40*ComercMg</f>
        <v/>
      </c>
      <c r="K40" s="24">
        <f>F40+I40</f>
        <v/>
      </c>
      <c r="L40" s="26">
        <f>H40+J40</f>
        <v/>
      </c>
    </row>
    <row r="41">
      <c r="A41" s="23" t="n">
        <v>2062</v>
      </c>
      <c r="B41" s="27">
        <f>IF(A41&lt;=AnoFimGer,1,0)</f>
        <v/>
      </c>
      <c r="C41" s="24">
        <f>MWmed*B41</f>
        <v/>
      </c>
      <c r="D41" s="24">
        <f>C41*8760*PxMWh/1000000</f>
        <v/>
      </c>
      <c r="E41" s="24">
        <f>-D41*DedGe</f>
        <v/>
      </c>
      <c r="F41" s="24">
        <f>D41+E41</f>
        <v/>
      </c>
      <c r="G41" s="24">
        <f>-F41*OMGe</f>
        <v/>
      </c>
      <c r="H41" s="24">
        <f>F41+G41</f>
        <v/>
      </c>
      <c r="I41" s="24">
        <f>ComercRec*B41</f>
        <v/>
      </c>
      <c r="J41" s="24">
        <f>I41*ComercMg</f>
        <v/>
      </c>
      <c r="K41" s="24">
        <f>F41+I41</f>
        <v/>
      </c>
      <c r="L41" s="26">
        <f>H41+J41</f>
        <v/>
      </c>
    </row>
    <row r="42">
      <c r="A42" s="23" t="n">
        <v>2063</v>
      </c>
      <c r="B42" s="27">
        <f>IF(A42&lt;=AnoFimGer,1,0)</f>
        <v/>
      </c>
      <c r="C42" s="24">
        <f>MWmed*B42</f>
        <v/>
      </c>
      <c r="D42" s="24">
        <f>C42*8760*PxMWh/1000000</f>
        <v/>
      </c>
      <c r="E42" s="24">
        <f>-D42*DedGe</f>
        <v/>
      </c>
      <c r="F42" s="24">
        <f>D42+E42</f>
        <v/>
      </c>
      <c r="G42" s="24">
        <f>-F42*OMGe</f>
        <v/>
      </c>
      <c r="H42" s="24">
        <f>F42+G42</f>
        <v/>
      </c>
      <c r="I42" s="24">
        <f>ComercRec*B42</f>
        <v/>
      </c>
      <c r="J42" s="24">
        <f>I42*ComercMg</f>
        <v/>
      </c>
      <c r="K42" s="24">
        <f>F42+I42</f>
        <v/>
      </c>
      <c r="L42" s="26">
        <f>H42+J42</f>
        <v/>
      </c>
    </row>
    <row r="43">
      <c r="A43" s="23" t="n">
        <v>2064</v>
      </c>
      <c r="B43" s="27">
        <f>IF(A43&lt;=AnoFimGer,1,0)</f>
        <v/>
      </c>
      <c r="C43" s="24">
        <f>MWmed*B43</f>
        <v/>
      </c>
      <c r="D43" s="24">
        <f>C43*8760*PxMWh/1000000</f>
        <v/>
      </c>
      <c r="E43" s="24">
        <f>-D43*DedGe</f>
        <v/>
      </c>
      <c r="F43" s="24">
        <f>D43+E43</f>
        <v/>
      </c>
      <c r="G43" s="24">
        <f>-F43*OMGe</f>
        <v/>
      </c>
      <c r="H43" s="24">
        <f>F43+G43</f>
        <v/>
      </c>
      <c r="I43" s="24">
        <f>ComercRec*B43</f>
        <v/>
      </c>
      <c r="J43" s="24">
        <f>I43*ComercMg</f>
        <v/>
      </c>
      <c r="K43" s="24">
        <f>F43+I43</f>
        <v/>
      </c>
      <c r="L43" s="26">
        <f>H43+J43</f>
        <v/>
      </c>
    </row>
    <row r="44">
      <c r="A44" s="23" t="n">
        <v>2065</v>
      </c>
      <c r="B44" s="27">
        <f>IF(A44&lt;=AnoFimGer,1,0)</f>
        <v/>
      </c>
      <c r="C44" s="24">
        <f>MWmed*B44</f>
        <v/>
      </c>
      <c r="D44" s="24">
        <f>C44*8760*PxMWh/1000000</f>
        <v/>
      </c>
      <c r="E44" s="24">
        <f>-D44*DedGe</f>
        <v/>
      </c>
      <c r="F44" s="24">
        <f>D44+E44</f>
        <v/>
      </c>
      <c r="G44" s="24">
        <f>-F44*OMGe</f>
        <v/>
      </c>
      <c r="H44" s="24">
        <f>F44+G44</f>
        <v/>
      </c>
      <c r="I44" s="24">
        <f>ComercRec*B44</f>
        <v/>
      </c>
      <c r="J44" s="24">
        <f>I44*ComercMg</f>
        <v/>
      </c>
      <c r="K44" s="24">
        <f>F44+I44</f>
        <v/>
      </c>
      <c r="L44" s="26">
        <f>H44+J44</f>
        <v/>
      </c>
    </row>
    <row r="45">
      <c r="A45" s="23" t="n">
        <v>2066</v>
      </c>
      <c r="B45" s="27">
        <f>IF(A45&lt;=AnoFimGer,1,0)</f>
        <v/>
      </c>
      <c r="C45" s="24">
        <f>MWmed*B45</f>
        <v/>
      </c>
      <c r="D45" s="24">
        <f>C45*8760*PxMWh/1000000</f>
        <v/>
      </c>
      <c r="E45" s="24">
        <f>-D45*DedGe</f>
        <v/>
      </c>
      <c r="F45" s="24">
        <f>D45+E45</f>
        <v/>
      </c>
      <c r="G45" s="24">
        <f>-F45*OMGe</f>
        <v/>
      </c>
      <c r="H45" s="24">
        <f>F45+G45</f>
        <v/>
      </c>
      <c r="I45" s="24">
        <f>ComercRec*B45</f>
        <v/>
      </c>
      <c r="J45" s="24">
        <f>I45*ComercMg</f>
        <v/>
      </c>
      <c r="K45" s="24">
        <f>F45+I45</f>
        <v/>
      </c>
      <c r="L45" s="26">
        <f>H45+J45</f>
        <v/>
      </c>
    </row>
    <row r="46">
      <c r="A46" s="23" t="n">
        <v>2067</v>
      </c>
      <c r="B46" s="27">
        <f>IF(A46&lt;=AnoFimGer,1,0)</f>
        <v/>
      </c>
      <c r="C46" s="24">
        <f>MWmed*B46</f>
        <v/>
      </c>
      <c r="D46" s="24">
        <f>C46*8760*PxMWh/1000000</f>
        <v/>
      </c>
      <c r="E46" s="24">
        <f>-D46*DedGe</f>
        <v/>
      </c>
      <c r="F46" s="24">
        <f>D46+E46</f>
        <v/>
      </c>
      <c r="G46" s="24">
        <f>-F46*OMGe</f>
        <v/>
      </c>
      <c r="H46" s="24">
        <f>F46+G46</f>
        <v/>
      </c>
      <c r="I46" s="24">
        <f>ComercRec*B46</f>
        <v/>
      </c>
      <c r="J46" s="24">
        <f>I46*ComercMg</f>
        <v/>
      </c>
      <c r="K46" s="24">
        <f>F46+I46</f>
        <v/>
      </c>
      <c r="L46" s="26">
        <f>H46+J46</f>
        <v/>
      </c>
    </row>
    <row r="47">
      <c r="A47" s="23" t="n">
        <v>2068</v>
      </c>
      <c r="B47" s="27">
        <f>IF(A47&lt;=AnoFimGer,1,0)</f>
        <v/>
      </c>
      <c r="C47" s="24">
        <f>MWmed*B47</f>
        <v/>
      </c>
      <c r="D47" s="24">
        <f>C47*8760*PxMWh/1000000</f>
        <v/>
      </c>
      <c r="E47" s="24">
        <f>-D47*DedGe</f>
        <v/>
      </c>
      <c r="F47" s="24">
        <f>D47+E47</f>
        <v/>
      </c>
      <c r="G47" s="24">
        <f>-F47*OMGe</f>
        <v/>
      </c>
      <c r="H47" s="24">
        <f>F47+G47</f>
        <v/>
      </c>
      <c r="I47" s="24">
        <f>ComercRec*B47</f>
        <v/>
      </c>
      <c r="J47" s="24">
        <f>I47*ComercMg</f>
        <v/>
      </c>
      <c r="K47" s="24">
        <f>F47+I47</f>
        <v/>
      </c>
      <c r="L47" s="26">
        <f>H47+J47</f>
        <v/>
      </c>
    </row>
    <row r="48">
      <c r="A48" s="23" t="n">
        <v>2069</v>
      </c>
      <c r="B48" s="27">
        <f>IF(A48&lt;=AnoFimGer,1,0)</f>
        <v/>
      </c>
      <c r="C48" s="24">
        <f>MWmed*B48</f>
        <v/>
      </c>
      <c r="D48" s="24">
        <f>C48*8760*PxMWh/1000000</f>
        <v/>
      </c>
      <c r="E48" s="24">
        <f>-D48*DedGe</f>
        <v/>
      </c>
      <c r="F48" s="24">
        <f>D48+E48</f>
        <v/>
      </c>
      <c r="G48" s="24">
        <f>-F48*OMGe</f>
        <v/>
      </c>
      <c r="H48" s="24">
        <f>F48+G48</f>
        <v/>
      </c>
      <c r="I48" s="24">
        <f>ComercRec*B48</f>
        <v/>
      </c>
      <c r="J48" s="24">
        <f>I48*ComercMg</f>
        <v/>
      </c>
      <c r="K48" s="24">
        <f>F48+I48</f>
        <v/>
      </c>
      <c r="L48" s="26">
        <f>H48+J48</f>
        <v/>
      </c>
    </row>
    <row r="49">
      <c r="A49" s="23" t="n">
        <v>2070</v>
      </c>
      <c r="B49" s="27">
        <f>IF(A49&lt;=AnoFimGer,1,0)</f>
        <v/>
      </c>
      <c r="C49" s="24">
        <f>MWmed*B49</f>
        <v/>
      </c>
      <c r="D49" s="24">
        <f>C49*8760*PxMWh/1000000</f>
        <v/>
      </c>
      <c r="E49" s="24">
        <f>-D49*DedGe</f>
        <v/>
      </c>
      <c r="F49" s="24">
        <f>D49+E49</f>
        <v/>
      </c>
      <c r="G49" s="24">
        <f>-F49*OMGe</f>
        <v/>
      </c>
      <c r="H49" s="24">
        <f>F49+G49</f>
        <v/>
      </c>
      <c r="I49" s="24">
        <f>ComercRec*B49</f>
        <v/>
      </c>
      <c r="J49" s="24">
        <f>I49*ComercMg</f>
        <v/>
      </c>
      <c r="K49" s="24">
        <f>F49+I49</f>
        <v/>
      </c>
      <c r="L49" s="26">
        <f>H49+J49</f>
        <v/>
      </c>
    </row>
    <row r="50">
      <c r="A50" s="23" t="n">
        <v>2071</v>
      </c>
      <c r="B50" s="27">
        <f>IF(A50&lt;=AnoFimGer,1,0)</f>
        <v/>
      </c>
      <c r="C50" s="24">
        <f>MWmed*B50</f>
        <v/>
      </c>
      <c r="D50" s="24">
        <f>C50*8760*PxMWh/1000000</f>
        <v/>
      </c>
      <c r="E50" s="24">
        <f>-D50*DedGe</f>
        <v/>
      </c>
      <c r="F50" s="24">
        <f>D50+E50</f>
        <v/>
      </c>
      <c r="G50" s="24">
        <f>-F50*OMGe</f>
        <v/>
      </c>
      <c r="H50" s="24">
        <f>F50+G50</f>
        <v/>
      </c>
      <c r="I50" s="24">
        <f>ComercRec*B50</f>
        <v/>
      </c>
      <c r="J50" s="24">
        <f>I50*ComercMg</f>
        <v/>
      </c>
      <c r="K50" s="24">
        <f>F50+I50</f>
        <v/>
      </c>
      <c r="L50" s="26">
        <f>H50+J50</f>
        <v/>
      </c>
    </row>
    <row r="51">
      <c r="A51" s="23" t="n">
        <v>2072</v>
      </c>
      <c r="B51" s="27">
        <f>IF(A51&lt;=AnoFimGer,1,0)</f>
        <v/>
      </c>
      <c r="C51" s="24">
        <f>MWmed*B51</f>
        <v/>
      </c>
      <c r="D51" s="24">
        <f>C51*8760*PxMWh/1000000</f>
        <v/>
      </c>
      <c r="E51" s="24">
        <f>-D51*DedGe</f>
        <v/>
      </c>
      <c r="F51" s="24">
        <f>D51+E51</f>
        <v/>
      </c>
      <c r="G51" s="24">
        <f>-F51*OMGe</f>
        <v/>
      </c>
      <c r="H51" s="24">
        <f>F51+G51</f>
        <v/>
      </c>
      <c r="I51" s="24">
        <f>ComercRec*B51</f>
        <v/>
      </c>
      <c r="J51" s="24">
        <f>I51*ComercMg</f>
        <v/>
      </c>
      <c r="K51" s="24">
        <f>F51+I51</f>
        <v/>
      </c>
      <c r="L51" s="26">
        <f>H51+J51</f>
        <v/>
      </c>
    </row>
    <row r="52">
      <c r="A52" s="23" t="n">
        <v>2073</v>
      </c>
      <c r="B52" s="27">
        <f>IF(A52&lt;=AnoFimGer,1,0)</f>
        <v/>
      </c>
      <c r="C52" s="24">
        <f>MWmed*B52</f>
        <v/>
      </c>
      <c r="D52" s="24">
        <f>C52*8760*PxMWh/1000000</f>
        <v/>
      </c>
      <c r="E52" s="24">
        <f>-D52*DedGe</f>
        <v/>
      </c>
      <c r="F52" s="24">
        <f>D52+E52</f>
        <v/>
      </c>
      <c r="G52" s="24">
        <f>-F52*OMGe</f>
        <v/>
      </c>
      <c r="H52" s="24">
        <f>F52+G52</f>
        <v/>
      </c>
      <c r="I52" s="24">
        <f>ComercRec*B52</f>
        <v/>
      </c>
      <c r="J52" s="24">
        <f>I52*ComercMg</f>
        <v/>
      </c>
      <c r="K52" s="24">
        <f>F52+I52</f>
        <v/>
      </c>
      <c r="L52" s="26">
        <f>H52+J52</f>
        <v/>
      </c>
    </row>
    <row r="53">
      <c r="A53" s="23" t="n">
        <v>2074</v>
      </c>
      <c r="B53" s="27">
        <f>IF(A53&lt;=AnoFimGer,1,0)</f>
        <v/>
      </c>
      <c r="C53" s="24">
        <f>MWmed*B53</f>
        <v/>
      </c>
      <c r="D53" s="24">
        <f>C53*8760*PxMWh/1000000</f>
        <v/>
      </c>
      <c r="E53" s="24">
        <f>-D53*DedGe</f>
        <v/>
      </c>
      <c r="F53" s="24">
        <f>D53+E53</f>
        <v/>
      </c>
      <c r="G53" s="24">
        <f>-F53*OMGe</f>
        <v/>
      </c>
      <c r="H53" s="24">
        <f>F53+G53</f>
        <v/>
      </c>
      <c r="I53" s="24">
        <f>ComercRec*B53</f>
        <v/>
      </c>
      <c r="J53" s="24">
        <f>I53*ComercMg</f>
        <v/>
      </c>
      <c r="K53" s="24">
        <f>F53+I53</f>
        <v/>
      </c>
      <c r="L53" s="26">
        <f>H53+J53</f>
        <v/>
      </c>
    </row>
    <row r="54">
      <c r="A54" s="23" t="n">
        <v>2075</v>
      </c>
      <c r="B54" s="27">
        <f>IF(A54&lt;=AnoFimGer,1,0)</f>
        <v/>
      </c>
      <c r="C54" s="24">
        <f>MWmed*B54</f>
        <v/>
      </c>
      <c r="D54" s="24">
        <f>C54*8760*PxMWh/1000000</f>
        <v/>
      </c>
      <c r="E54" s="24">
        <f>-D54*DedGe</f>
        <v/>
      </c>
      <c r="F54" s="24">
        <f>D54+E54</f>
        <v/>
      </c>
      <c r="G54" s="24">
        <f>-F54*OMGe</f>
        <v/>
      </c>
      <c r="H54" s="24">
        <f>F54+G54</f>
        <v/>
      </c>
      <c r="I54" s="24">
        <f>ComercRec*B54</f>
        <v/>
      </c>
      <c r="J54" s="24">
        <f>I54*ComercMg</f>
        <v/>
      </c>
      <c r="K54" s="24">
        <f>F54+I54</f>
        <v/>
      </c>
      <c r="L54" s="26">
        <f>H54+J54</f>
        <v/>
      </c>
    </row>
    <row r="55">
      <c r="A55" s="23" t="n">
        <v>2076</v>
      </c>
      <c r="B55" s="27">
        <f>IF(A55&lt;=AnoFimGer,1,0)</f>
        <v/>
      </c>
      <c r="C55" s="24">
        <f>MWmed*B55</f>
        <v/>
      </c>
      <c r="D55" s="24">
        <f>C55*8760*PxMWh/1000000</f>
        <v/>
      </c>
      <c r="E55" s="24">
        <f>-D55*DedGe</f>
        <v/>
      </c>
      <c r="F55" s="24">
        <f>D55+E55</f>
        <v/>
      </c>
      <c r="G55" s="24">
        <f>-F55*OMGe</f>
        <v/>
      </c>
      <c r="H55" s="24">
        <f>F55+G55</f>
        <v/>
      </c>
      <c r="I55" s="24">
        <f>ComercRec*B55</f>
        <v/>
      </c>
      <c r="J55" s="24">
        <f>I55*ComercMg</f>
        <v/>
      </c>
      <c r="K55" s="24">
        <f>F55+I55</f>
        <v/>
      </c>
      <c r="L55" s="26">
        <f>H55+J55</f>
        <v/>
      </c>
    </row>
    <row r="56">
      <c r="A56" s="23" t="n">
        <v>2077</v>
      </c>
      <c r="B56" s="27">
        <f>IF(A56&lt;=AnoFimGer,1,0)</f>
        <v/>
      </c>
      <c r="C56" s="24">
        <f>MWmed*B56</f>
        <v/>
      </c>
      <c r="D56" s="24">
        <f>C56*8760*PxMWh/1000000</f>
        <v/>
      </c>
      <c r="E56" s="24">
        <f>-D56*DedGe</f>
        <v/>
      </c>
      <c r="F56" s="24">
        <f>D56+E56</f>
        <v/>
      </c>
      <c r="G56" s="24">
        <f>-F56*OMGe</f>
        <v/>
      </c>
      <c r="H56" s="24">
        <f>F56+G56</f>
        <v/>
      </c>
      <c r="I56" s="24">
        <f>ComercRec*B56</f>
        <v/>
      </c>
      <c r="J56" s="24">
        <f>I56*ComercMg</f>
        <v/>
      </c>
      <c r="K56" s="24">
        <f>F56+I56</f>
        <v/>
      </c>
      <c r="L56" s="26">
        <f>H56+J56</f>
        <v/>
      </c>
    </row>
    <row r="57">
      <c r="A57" s="23" t="n">
        <v>2078</v>
      </c>
      <c r="B57" s="27">
        <f>IF(A57&lt;=AnoFimGer,1,0)</f>
        <v/>
      </c>
      <c r="C57" s="24">
        <f>MWmed*B57</f>
        <v/>
      </c>
      <c r="D57" s="24">
        <f>C57*8760*PxMWh/1000000</f>
        <v/>
      </c>
      <c r="E57" s="24">
        <f>-D57*DedGe</f>
        <v/>
      </c>
      <c r="F57" s="24">
        <f>D57+E57</f>
        <v/>
      </c>
      <c r="G57" s="24">
        <f>-F57*OMGe</f>
        <v/>
      </c>
      <c r="H57" s="24">
        <f>F57+G57</f>
        <v/>
      </c>
      <c r="I57" s="24">
        <f>ComercRec*B57</f>
        <v/>
      </c>
      <c r="J57" s="24">
        <f>I57*ComercMg</f>
        <v/>
      </c>
      <c r="K57" s="24">
        <f>F57+I57</f>
        <v/>
      </c>
      <c r="L57" s="26">
        <f>H57+J57</f>
        <v/>
      </c>
    </row>
    <row r="58">
      <c r="A58" s="23" t="n">
        <v>2079</v>
      </c>
      <c r="B58" s="27">
        <f>IF(A58&lt;=AnoFimGer,1,0)</f>
        <v/>
      </c>
      <c r="C58" s="24">
        <f>MWmed*B58</f>
        <v/>
      </c>
      <c r="D58" s="24">
        <f>C58*8760*PxMWh/1000000</f>
        <v/>
      </c>
      <c r="E58" s="24">
        <f>-D58*DedGe</f>
        <v/>
      </c>
      <c r="F58" s="24">
        <f>D58+E58</f>
        <v/>
      </c>
      <c r="G58" s="24">
        <f>-F58*OMGe</f>
        <v/>
      </c>
      <c r="H58" s="24">
        <f>F58+G58</f>
        <v/>
      </c>
      <c r="I58" s="24">
        <f>ComercRec*B58</f>
        <v/>
      </c>
      <c r="J58" s="24">
        <f>I58*ComercMg</f>
        <v/>
      </c>
      <c r="K58" s="24">
        <f>F58+I58</f>
        <v/>
      </c>
      <c r="L58" s="26">
        <f>H58+J58</f>
        <v/>
      </c>
    </row>
    <row r="59">
      <c r="A59" s="23" t="n">
        <v>2080</v>
      </c>
      <c r="B59" s="27">
        <f>IF(A59&lt;=AnoFimGer,1,0)</f>
        <v/>
      </c>
      <c r="C59" s="24">
        <f>MWmed*B59</f>
        <v/>
      </c>
      <c r="D59" s="24">
        <f>C59*8760*PxMWh/1000000</f>
        <v/>
      </c>
      <c r="E59" s="24">
        <f>-D59*DedGe</f>
        <v/>
      </c>
      <c r="F59" s="24">
        <f>D59+E59</f>
        <v/>
      </c>
      <c r="G59" s="24">
        <f>-F59*OMGe</f>
        <v/>
      </c>
      <c r="H59" s="24">
        <f>F59+G59</f>
        <v/>
      </c>
      <c r="I59" s="24">
        <f>ComercRec*B59</f>
        <v/>
      </c>
      <c r="J59" s="24">
        <f>I59*ComercMg</f>
        <v/>
      </c>
      <c r="K59" s="24">
        <f>F59+I59</f>
        <v/>
      </c>
      <c r="L59" s="26">
        <f>H59+J59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3" customWidth="1" min="11" max="11"/>
    <col width="11" customWidth="1" min="12" max="12"/>
    <col width="12" customWidth="1" min="13" max="13"/>
    <col width="11" customWidth="1" min="14" max="14"/>
    <col width="13" customWidth="1" min="15" max="15"/>
    <col width="13" customWidth="1" min="16" max="16"/>
    <col width="12" customWidth="1" min="17" max="17"/>
  </cols>
  <sheetData>
    <row r="1">
      <c r="A1" s="1" t="inlineStr">
        <is>
          <t>Consolidado — fluxo de caixa ao acionista (FCFE) em termos reais (R$ mn)</t>
        </is>
      </c>
    </row>
    <row r="2">
      <c r="A2" s="4" t="inlineStr">
        <is>
          <t>EBITDA das duas pontas menos holding, impostos, capex, minoritários e serviço da dívida. A dívida rola: capta uma fração do capex de expansão e amortiza linearmente.</t>
        </is>
      </c>
    </row>
    <row r="4" ht="34" customHeight="1">
      <c r="A4" s="5" t="inlineStr">
        <is>
          <t>Ano</t>
        </is>
      </c>
      <c r="B4" s="5" t="inlineStr">
        <is>
          <t>EBITDA transmissão</t>
        </is>
      </c>
      <c r="C4" s="5" t="inlineStr">
        <is>
          <t>EBITDA geração + comerc.</t>
        </is>
      </c>
      <c r="D4" s="5" t="inlineStr">
        <is>
          <t>Holding</t>
        </is>
      </c>
      <c r="E4" s="5" t="inlineStr">
        <is>
          <t>EBITDA consolidado</t>
        </is>
      </c>
      <c r="F4" s="5" t="inlineStr">
        <is>
          <t>Impostos efetivos</t>
        </is>
      </c>
      <c r="G4" s="5" t="inlineStr">
        <is>
          <t>Capex expansão</t>
        </is>
      </c>
      <c r="H4" s="5" t="inlineStr">
        <is>
          <t>Capex manutenção</t>
        </is>
      </c>
      <c r="I4" s="5" t="inlineStr">
        <is>
          <t>Minoritários</t>
        </is>
      </c>
      <c r="J4" s="5" t="inlineStr">
        <is>
          <t>Fluxo antes da dívida</t>
        </is>
      </c>
      <c r="K4" s="5" t="inlineStr">
        <is>
          <t>Dívida — saldo inicial</t>
        </is>
      </c>
      <c r="L4" s="5" t="inlineStr">
        <is>
          <t>Captação</t>
        </is>
      </c>
      <c r="M4" s="5" t="inlineStr">
        <is>
          <t>Amortização</t>
        </is>
      </c>
      <c r="N4" s="5" t="inlineStr">
        <is>
          <t>Juros reais</t>
        </is>
      </c>
      <c r="O4" s="5" t="inlineStr">
        <is>
          <t>Dívida — saldo final</t>
        </is>
      </c>
      <c r="P4" s="5" t="inlineStr">
        <is>
          <t>Alavancagem (DL/EBITDA)</t>
        </is>
      </c>
      <c r="Q4" s="5" t="inlineStr">
        <is>
          <t>FCFE</t>
        </is>
      </c>
    </row>
    <row r="5">
      <c r="A5" s="23" t="n">
        <v>2026</v>
      </c>
      <c r="B5" s="24">
        <f>'Transmissão'!L5</f>
        <v/>
      </c>
      <c r="C5" s="24">
        <f>'Geração'!L5</f>
        <v/>
      </c>
      <c r="D5" s="24">
        <f>-Holding</f>
        <v/>
      </c>
      <c r="E5" s="26">
        <f>B5+C5+D5</f>
        <v/>
      </c>
      <c r="F5" s="24">
        <f>-MAX(0,E5)*TaxEff</f>
        <v/>
      </c>
      <c r="G5" s="24">
        <f>-'Transmissão'!B5</f>
        <v/>
      </c>
      <c r="H5" s="24">
        <f>'Transmissão'!N5</f>
        <v/>
      </c>
      <c r="I5" s="24">
        <f>-MAX(0,E5+F5)*Minor</f>
        <v/>
      </c>
      <c r="J5" s="26">
        <f>SUM(E5:I5)</f>
        <v/>
      </c>
      <c r="K5" s="24">
        <f>DivLiq0</f>
        <v/>
      </c>
      <c r="L5" s="24">
        <f>-G5*PctDivida</f>
        <v/>
      </c>
      <c r="M5" s="24">
        <f>-K5/PrazoDiv</f>
        <v/>
      </c>
      <c r="N5" s="24">
        <f>-K5*KdReal</f>
        <v/>
      </c>
      <c r="O5" s="24">
        <f>K5+L5+M5</f>
        <v/>
      </c>
      <c r="P5" s="28">
        <f>IFERROR(O5/E5,"")</f>
        <v/>
      </c>
      <c r="Q5" s="26">
        <f>J5+L5+M5+N5</f>
        <v/>
      </c>
    </row>
    <row r="6">
      <c r="A6" s="23" t="n">
        <v>2027</v>
      </c>
      <c r="B6" s="24">
        <f>'Transmissão'!L6</f>
        <v/>
      </c>
      <c r="C6" s="24">
        <f>'Geração'!L6</f>
        <v/>
      </c>
      <c r="D6" s="24">
        <f>-Holding</f>
        <v/>
      </c>
      <c r="E6" s="26">
        <f>B6+C6+D6</f>
        <v/>
      </c>
      <c r="F6" s="24">
        <f>-MAX(0,E6)*TaxEff</f>
        <v/>
      </c>
      <c r="G6" s="24">
        <f>-'Transmissão'!B6</f>
        <v/>
      </c>
      <c r="H6" s="24">
        <f>'Transmissão'!N6</f>
        <v/>
      </c>
      <c r="I6" s="24">
        <f>-MAX(0,E6+F6)*Minor</f>
        <v/>
      </c>
      <c r="J6" s="26">
        <f>SUM(E6:I6)</f>
        <v/>
      </c>
      <c r="K6" s="24">
        <f>O5</f>
        <v/>
      </c>
      <c r="L6" s="24">
        <f>-G6*PctDivida</f>
        <v/>
      </c>
      <c r="M6" s="24">
        <f>-K6/PrazoDiv</f>
        <v/>
      </c>
      <c r="N6" s="24">
        <f>-K6*KdReal</f>
        <v/>
      </c>
      <c r="O6" s="24">
        <f>K6+L6+M6</f>
        <v/>
      </c>
      <c r="P6" s="28">
        <f>IFERROR(O6/E6,"")</f>
        <v/>
      </c>
      <c r="Q6" s="26">
        <f>J6+L6+M6+N6</f>
        <v/>
      </c>
    </row>
    <row r="7">
      <c r="A7" s="23" t="n">
        <v>2028</v>
      </c>
      <c r="B7" s="24">
        <f>'Transmissão'!L7</f>
        <v/>
      </c>
      <c r="C7" s="24">
        <f>'Geração'!L7</f>
        <v/>
      </c>
      <c r="D7" s="24">
        <f>-Holding</f>
        <v/>
      </c>
      <c r="E7" s="26">
        <f>B7+C7+D7</f>
        <v/>
      </c>
      <c r="F7" s="24">
        <f>-MAX(0,E7)*TaxEff</f>
        <v/>
      </c>
      <c r="G7" s="24">
        <f>-'Transmissão'!B7</f>
        <v/>
      </c>
      <c r="H7" s="24">
        <f>'Transmissão'!N7</f>
        <v/>
      </c>
      <c r="I7" s="24">
        <f>-MAX(0,E7+F7)*Minor</f>
        <v/>
      </c>
      <c r="J7" s="26">
        <f>SUM(E7:I7)</f>
        <v/>
      </c>
      <c r="K7" s="24">
        <f>O6</f>
        <v/>
      </c>
      <c r="L7" s="24">
        <f>-G7*PctDivida</f>
        <v/>
      </c>
      <c r="M7" s="24">
        <f>-K7/PrazoDiv</f>
        <v/>
      </c>
      <c r="N7" s="24">
        <f>-K7*KdReal</f>
        <v/>
      </c>
      <c r="O7" s="24">
        <f>K7+L7+M7</f>
        <v/>
      </c>
      <c r="P7" s="28">
        <f>IFERROR(O7/E7,"")</f>
        <v/>
      </c>
      <c r="Q7" s="26">
        <f>J7+L7+M7+N7</f>
        <v/>
      </c>
    </row>
    <row r="8">
      <c r="A8" s="23" t="n">
        <v>2029</v>
      </c>
      <c r="B8" s="24">
        <f>'Transmissão'!L8</f>
        <v/>
      </c>
      <c r="C8" s="24">
        <f>'Geração'!L8</f>
        <v/>
      </c>
      <c r="D8" s="24">
        <f>-Holding</f>
        <v/>
      </c>
      <c r="E8" s="26">
        <f>B8+C8+D8</f>
        <v/>
      </c>
      <c r="F8" s="24">
        <f>-MAX(0,E8)*TaxEff</f>
        <v/>
      </c>
      <c r="G8" s="24">
        <f>-'Transmissão'!B8</f>
        <v/>
      </c>
      <c r="H8" s="24">
        <f>'Transmissão'!N8</f>
        <v/>
      </c>
      <c r="I8" s="24">
        <f>-MAX(0,E8+F8)*Minor</f>
        <v/>
      </c>
      <c r="J8" s="26">
        <f>SUM(E8:I8)</f>
        <v/>
      </c>
      <c r="K8" s="24">
        <f>O7</f>
        <v/>
      </c>
      <c r="L8" s="24">
        <f>-G8*PctDivida</f>
        <v/>
      </c>
      <c r="M8" s="24">
        <f>-K8/PrazoDiv</f>
        <v/>
      </c>
      <c r="N8" s="24">
        <f>-K8*KdReal</f>
        <v/>
      </c>
      <c r="O8" s="24">
        <f>K8+L8+M8</f>
        <v/>
      </c>
      <c r="P8" s="28">
        <f>IFERROR(O8/E8,"")</f>
        <v/>
      </c>
      <c r="Q8" s="26">
        <f>J8+L8+M8+N8</f>
        <v/>
      </c>
    </row>
    <row r="9">
      <c r="A9" s="23" t="n">
        <v>2030</v>
      </c>
      <c r="B9" s="24">
        <f>'Transmissão'!L9</f>
        <v/>
      </c>
      <c r="C9" s="24">
        <f>'Geração'!L9</f>
        <v/>
      </c>
      <c r="D9" s="24">
        <f>-Holding</f>
        <v/>
      </c>
      <c r="E9" s="26">
        <f>B9+C9+D9</f>
        <v/>
      </c>
      <c r="F9" s="24">
        <f>-MAX(0,E9)*TaxEff</f>
        <v/>
      </c>
      <c r="G9" s="24">
        <f>-'Transmissão'!B9</f>
        <v/>
      </c>
      <c r="H9" s="24">
        <f>'Transmissão'!N9</f>
        <v/>
      </c>
      <c r="I9" s="24">
        <f>-MAX(0,E9+F9)*Minor</f>
        <v/>
      </c>
      <c r="J9" s="26">
        <f>SUM(E9:I9)</f>
        <v/>
      </c>
      <c r="K9" s="24">
        <f>O8</f>
        <v/>
      </c>
      <c r="L9" s="24">
        <f>-G9*PctDivida</f>
        <v/>
      </c>
      <c r="M9" s="24">
        <f>-K9/PrazoDiv</f>
        <v/>
      </c>
      <c r="N9" s="24">
        <f>-K9*KdReal</f>
        <v/>
      </c>
      <c r="O9" s="24">
        <f>K9+L9+M9</f>
        <v/>
      </c>
      <c r="P9" s="28">
        <f>IFERROR(O9/E9,"")</f>
        <v/>
      </c>
      <c r="Q9" s="26">
        <f>J9+L9+M9+N9</f>
        <v/>
      </c>
    </row>
    <row r="10">
      <c r="A10" s="23" t="n">
        <v>2031</v>
      </c>
      <c r="B10" s="24">
        <f>'Transmissão'!L10</f>
        <v/>
      </c>
      <c r="C10" s="24">
        <f>'Geração'!L10</f>
        <v/>
      </c>
      <c r="D10" s="24">
        <f>-Holding</f>
        <v/>
      </c>
      <c r="E10" s="26">
        <f>B10+C10+D10</f>
        <v/>
      </c>
      <c r="F10" s="24">
        <f>-MAX(0,E10)*TaxEff</f>
        <v/>
      </c>
      <c r="G10" s="24">
        <f>-'Transmissão'!B10</f>
        <v/>
      </c>
      <c r="H10" s="24">
        <f>'Transmissão'!N10</f>
        <v/>
      </c>
      <c r="I10" s="24">
        <f>-MAX(0,E10+F10)*Minor</f>
        <v/>
      </c>
      <c r="J10" s="26">
        <f>SUM(E10:I10)</f>
        <v/>
      </c>
      <c r="K10" s="24">
        <f>O9</f>
        <v/>
      </c>
      <c r="L10" s="24">
        <f>-G10*PctDivida</f>
        <v/>
      </c>
      <c r="M10" s="24">
        <f>-K10/PrazoDiv</f>
        <v/>
      </c>
      <c r="N10" s="24">
        <f>-K10*KdReal</f>
        <v/>
      </c>
      <c r="O10" s="24">
        <f>K10+L10+M10</f>
        <v/>
      </c>
      <c r="P10" s="28">
        <f>IFERROR(O10/E10,"")</f>
        <v/>
      </c>
      <c r="Q10" s="26">
        <f>J10+L10+M10+N10</f>
        <v/>
      </c>
    </row>
    <row r="11">
      <c r="A11" s="23" t="n">
        <v>2032</v>
      </c>
      <c r="B11" s="24">
        <f>'Transmissão'!L11</f>
        <v/>
      </c>
      <c r="C11" s="24">
        <f>'Geração'!L11</f>
        <v/>
      </c>
      <c r="D11" s="24">
        <f>-Holding</f>
        <v/>
      </c>
      <c r="E11" s="26">
        <f>B11+C11+D11</f>
        <v/>
      </c>
      <c r="F11" s="24">
        <f>-MAX(0,E11)*TaxEff</f>
        <v/>
      </c>
      <c r="G11" s="24">
        <f>-'Transmissão'!B11</f>
        <v/>
      </c>
      <c r="H11" s="24">
        <f>'Transmissão'!N11</f>
        <v/>
      </c>
      <c r="I11" s="24">
        <f>-MAX(0,E11+F11)*Minor</f>
        <v/>
      </c>
      <c r="J11" s="26">
        <f>SUM(E11:I11)</f>
        <v/>
      </c>
      <c r="K11" s="24">
        <f>O10</f>
        <v/>
      </c>
      <c r="L11" s="24">
        <f>-G11*PctDivida</f>
        <v/>
      </c>
      <c r="M11" s="24">
        <f>-K11/PrazoDiv</f>
        <v/>
      </c>
      <c r="N11" s="24">
        <f>-K11*KdReal</f>
        <v/>
      </c>
      <c r="O11" s="24">
        <f>K11+L11+M11</f>
        <v/>
      </c>
      <c r="P11" s="28">
        <f>IFERROR(O11/E11,"")</f>
        <v/>
      </c>
      <c r="Q11" s="26">
        <f>J11+L11+M11+N11</f>
        <v/>
      </c>
    </row>
    <row r="12">
      <c r="A12" s="23" t="n">
        <v>2033</v>
      </c>
      <c r="B12" s="24">
        <f>'Transmissão'!L12</f>
        <v/>
      </c>
      <c r="C12" s="24">
        <f>'Geração'!L12</f>
        <v/>
      </c>
      <c r="D12" s="24">
        <f>-Holding</f>
        <v/>
      </c>
      <c r="E12" s="26">
        <f>B12+C12+D12</f>
        <v/>
      </c>
      <c r="F12" s="24">
        <f>-MAX(0,E12)*TaxEff</f>
        <v/>
      </c>
      <c r="G12" s="24">
        <f>-'Transmissão'!B12</f>
        <v/>
      </c>
      <c r="H12" s="24">
        <f>'Transmissão'!N12</f>
        <v/>
      </c>
      <c r="I12" s="24">
        <f>-MAX(0,E12+F12)*Minor</f>
        <v/>
      </c>
      <c r="J12" s="26">
        <f>SUM(E12:I12)</f>
        <v/>
      </c>
      <c r="K12" s="24">
        <f>O11</f>
        <v/>
      </c>
      <c r="L12" s="24">
        <f>-G12*PctDivida</f>
        <v/>
      </c>
      <c r="M12" s="24">
        <f>-K12/PrazoDiv</f>
        <v/>
      </c>
      <c r="N12" s="24">
        <f>-K12*KdReal</f>
        <v/>
      </c>
      <c r="O12" s="24">
        <f>K12+L12+M12</f>
        <v/>
      </c>
      <c r="P12" s="28">
        <f>IFERROR(O12/E12,"")</f>
        <v/>
      </c>
      <c r="Q12" s="26">
        <f>J12+L12+M12+N12</f>
        <v/>
      </c>
    </row>
    <row r="13">
      <c r="A13" s="23" t="n">
        <v>2034</v>
      </c>
      <c r="B13" s="24">
        <f>'Transmissão'!L13</f>
        <v/>
      </c>
      <c r="C13" s="24">
        <f>'Geração'!L13</f>
        <v/>
      </c>
      <c r="D13" s="24">
        <f>-Holding</f>
        <v/>
      </c>
      <c r="E13" s="26">
        <f>B13+C13+D13</f>
        <v/>
      </c>
      <c r="F13" s="24">
        <f>-MAX(0,E13)*TaxEff</f>
        <v/>
      </c>
      <c r="G13" s="24">
        <f>-'Transmissão'!B13</f>
        <v/>
      </c>
      <c r="H13" s="24">
        <f>'Transmissão'!N13</f>
        <v/>
      </c>
      <c r="I13" s="24">
        <f>-MAX(0,E13+F13)*Minor</f>
        <v/>
      </c>
      <c r="J13" s="26">
        <f>SUM(E13:I13)</f>
        <v/>
      </c>
      <c r="K13" s="24">
        <f>O12</f>
        <v/>
      </c>
      <c r="L13" s="24">
        <f>-G13*PctDivida</f>
        <v/>
      </c>
      <c r="M13" s="24">
        <f>-K13/PrazoDiv</f>
        <v/>
      </c>
      <c r="N13" s="24">
        <f>-K13*KdReal</f>
        <v/>
      </c>
      <c r="O13" s="24">
        <f>K13+L13+M13</f>
        <v/>
      </c>
      <c r="P13" s="28">
        <f>IFERROR(O13/E13,"")</f>
        <v/>
      </c>
      <c r="Q13" s="26">
        <f>J13+L13+M13+N13</f>
        <v/>
      </c>
    </row>
    <row r="14">
      <c r="A14" s="23" t="n">
        <v>2035</v>
      </c>
      <c r="B14" s="24">
        <f>'Transmissão'!L14</f>
        <v/>
      </c>
      <c r="C14" s="24">
        <f>'Geração'!L14</f>
        <v/>
      </c>
      <c r="D14" s="24">
        <f>-Holding</f>
        <v/>
      </c>
      <c r="E14" s="26">
        <f>B14+C14+D14</f>
        <v/>
      </c>
      <c r="F14" s="24">
        <f>-MAX(0,E14)*TaxEff</f>
        <v/>
      </c>
      <c r="G14" s="24">
        <f>-'Transmissão'!B14</f>
        <v/>
      </c>
      <c r="H14" s="24">
        <f>'Transmissão'!N14</f>
        <v/>
      </c>
      <c r="I14" s="24">
        <f>-MAX(0,E14+F14)*Minor</f>
        <v/>
      </c>
      <c r="J14" s="26">
        <f>SUM(E14:I14)</f>
        <v/>
      </c>
      <c r="K14" s="24">
        <f>O13</f>
        <v/>
      </c>
      <c r="L14" s="24">
        <f>-G14*PctDivida</f>
        <v/>
      </c>
      <c r="M14" s="24">
        <f>-K14/PrazoDiv</f>
        <v/>
      </c>
      <c r="N14" s="24">
        <f>-K14*KdReal</f>
        <v/>
      </c>
      <c r="O14" s="24">
        <f>K14+L14+M14</f>
        <v/>
      </c>
      <c r="P14" s="28">
        <f>IFERROR(O14/E14,"")</f>
        <v/>
      </c>
      <c r="Q14" s="26">
        <f>J14+L14+M14+N14</f>
        <v/>
      </c>
    </row>
    <row r="15">
      <c r="A15" s="23" t="n">
        <v>2036</v>
      </c>
      <c r="B15" s="24">
        <f>'Transmissão'!L15</f>
        <v/>
      </c>
      <c r="C15" s="24">
        <f>'Geração'!L15</f>
        <v/>
      </c>
      <c r="D15" s="24">
        <f>-Holding</f>
        <v/>
      </c>
      <c r="E15" s="26">
        <f>B15+C15+D15</f>
        <v/>
      </c>
      <c r="F15" s="24">
        <f>-MAX(0,E15)*TaxEff</f>
        <v/>
      </c>
      <c r="G15" s="24">
        <f>-'Transmissão'!B15</f>
        <v/>
      </c>
      <c r="H15" s="24">
        <f>'Transmissão'!N15</f>
        <v/>
      </c>
      <c r="I15" s="24">
        <f>-MAX(0,E15+F15)*Minor</f>
        <v/>
      </c>
      <c r="J15" s="26">
        <f>SUM(E15:I15)</f>
        <v/>
      </c>
      <c r="K15" s="24">
        <f>O14</f>
        <v/>
      </c>
      <c r="L15" s="24">
        <f>-G15*PctDivida</f>
        <v/>
      </c>
      <c r="M15" s="24">
        <f>-K15/PrazoDiv</f>
        <v/>
      </c>
      <c r="N15" s="24">
        <f>-K15*KdReal</f>
        <v/>
      </c>
      <c r="O15" s="24">
        <f>K15+L15+M15</f>
        <v/>
      </c>
      <c r="P15" s="28">
        <f>IFERROR(O15/E15,"")</f>
        <v/>
      </c>
      <c r="Q15" s="26">
        <f>J15+L15+M15+N15</f>
        <v/>
      </c>
    </row>
    <row r="16">
      <c r="A16" s="23" t="n">
        <v>2037</v>
      </c>
      <c r="B16" s="24">
        <f>'Transmissão'!L16</f>
        <v/>
      </c>
      <c r="C16" s="24">
        <f>'Geração'!L16</f>
        <v/>
      </c>
      <c r="D16" s="24">
        <f>-Holding</f>
        <v/>
      </c>
      <c r="E16" s="26">
        <f>B16+C16+D16</f>
        <v/>
      </c>
      <c r="F16" s="24">
        <f>-MAX(0,E16)*TaxEff</f>
        <v/>
      </c>
      <c r="G16" s="24">
        <f>-'Transmissão'!B16</f>
        <v/>
      </c>
      <c r="H16" s="24">
        <f>'Transmissão'!N16</f>
        <v/>
      </c>
      <c r="I16" s="24">
        <f>-MAX(0,E16+F16)*Minor</f>
        <v/>
      </c>
      <c r="J16" s="26">
        <f>SUM(E16:I16)</f>
        <v/>
      </c>
      <c r="K16" s="24">
        <f>O15</f>
        <v/>
      </c>
      <c r="L16" s="24">
        <f>-G16*PctDivida</f>
        <v/>
      </c>
      <c r="M16" s="24">
        <f>-K16/PrazoDiv</f>
        <v/>
      </c>
      <c r="N16" s="24">
        <f>-K16*KdReal</f>
        <v/>
      </c>
      <c r="O16" s="24">
        <f>K16+L16+M16</f>
        <v/>
      </c>
      <c r="P16" s="28">
        <f>IFERROR(O16/E16,"")</f>
        <v/>
      </c>
      <c r="Q16" s="26">
        <f>J16+L16+M16+N16</f>
        <v/>
      </c>
    </row>
    <row r="17">
      <c r="A17" s="23" t="n">
        <v>2038</v>
      </c>
      <c r="B17" s="24">
        <f>'Transmissão'!L17</f>
        <v/>
      </c>
      <c r="C17" s="24">
        <f>'Geração'!L17</f>
        <v/>
      </c>
      <c r="D17" s="24">
        <f>-Holding</f>
        <v/>
      </c>
      <c r="E17" s="26">
        <f>B17+C17+D17</f>
        <v/>
      </c>
      <c r="F17" s="24">
        <f>-MAX(0,E17)*TaxEff</f>
        <v/>
      </c>
      <c r="G17" s="24">
        <f>-'Transmissão'!B17</f>
        <v/>
      </c>
      <c r="H17" s="24">
        <f>'Transmissão'!N17</f>
        <v/>
      </c>
      <c r="I17" s="24">
        <f>-MAX(0,E17+F17)*Minor</f>
        <v/>
      </c>
      <c r="J17" s="26">
        <f>SUM(E17:I17)</f>
        <v/>
      </c>
      <c r="K17" s="24">
        <f>O16</f>
        <v/>
      </c>
      <c r="L17" s="24">
        <f>-G17*PctDivida</f>
        <v/>
      </c>
      <c r="M17" s="24">
        <f>-K17/PrazoDiv</f>
        <v/>
      </c>
      <c r="N17" s="24">
        <f>-K17*KdReal</f>
        <v/>
      </c>
      <c r="O17" s="24">
        <f>K17+L17+M17</f>
        <v/>
      </c>
      <c r="P17" s="28">
        <f>IFERROR(O17/E17,"")</f>
        <v/>
      </c>
      <c r="Q17" s="26">
        <f>J17+L17+M17+N17</f>
        <v/>
      </c>
    </row>
    <row r="18">
      <c r="A18" s="23" t="n">
        <v>2039</v>
      </c>
      <c r="B18" s="24">
        <f>'Transmissão'!L18</f>
        <v/>
      </c>
      <c r="C18" s="24">
        <f>'Geração'!L18</f>
        <v/>
      </c>
      <c r="D18" s="24">
        <f>-Holding</f>
        <v/>
      </c>
      <c r="E18" s="26">
        <f>B18+C18+D18</f>
        <v/>
      </c>
      <c r="F18" s="24">
        <f>-MAX(0,E18)*TaxEff</f>
        <v/>
      </c>
      <c r="G18" s="24">
        <f>-'Transmissão'!B18</f>
        <v/>
      </c>
      <c r="H18" s="24">
        <f>'Transmissão'!N18</f>
        <v/>
      </c>
      <c r="I18" s="24">
        <f>-MAX(0,E18+F18)*Minor</f>
        <v/>
      </c>
      <c r="J18" s="26">
        <f>SUM(E18:I18)</f>
        <v/>
      </c>
      <c r="K18" s="24">
        <f>O17</f>
        <v/>
      </c>
      <c r="L18" s="24">
        <f>-G18*PctDivida</f>
        <v/>
      </c>
      <c r="M18" s="24">
        <f>-K18/PrazoDiv</f>
        <v/>
      </c>
      <c r="N18" s="24">
        <f>-K18*KdReal</f>
        <v/>
      </c>
      <c r="O18" s="24">
        <f>K18+L18+M18</f>
        <v/>
      </c>
      <c r="P18" s="28">
        <f>IFERROR(O18/E18,"")</f>
        <v/>
      </c>
      <c r="Q18" s="26">
        <f>J18+L18+M18+N18</f>
        <v/>
      </c>
    </row>
    <row r="19">
      <c r="A19" s="23" t="n">
        <v>2040</v>
      </c>
      <c r="B19" s="24">
        <f>'Transmissão'!L19</f>
        <v/>
      </c>
      <c r="C19" s="24">
        <f>'Geração'!L19</f>
        <v/>
      </c>
      <c r="D19" s="24">
        <f>-Holding</f>
        <v/>
      </c>
      <c r="E19" s="26">
        <f>B19+C19+D19</f>
        <v/>
      </c>
      <c r="F19" s="24">
        <f>-MAX(0,E19)*TaxEff</f>
        <v/>
      </c>
      <c r="G19" s="24">
        <f>-'Transmissão'!B19</f>
        <v/>
      </c>
      <c r="H19" s="24">
        <f>'Transmissão'!N19</f>
        <v/>
      </c>
      <c r="I19" s="24">
        <f>-MAX(0,E19+F19)*Minor</f>
        <v/>
      </c>
      <c r="J19" s="26">
        <f>SUM(E19:I19)</f>
        <v/>
      </c>
      <c r="K19" s="24">
        <f>O18</f>
        <v/>
      </c>
      <c r="L19" s="24">
        <f>-G19*PctDivida</f>
        <v/>
      </c>
      <c r="M19" s="24">
        <f>-K19/PrazoDiv</f>
        <v/>
      </c>
      <c r="N19" s="24">
        <f>-K19*KdReal</f>
        <v/>
      </c>
      <c r="O19" s="24">
        <f>K19+L19+M19</f>
        <v/>
      </c>
      <c r="P19" s="28">
        <f>IFERROR(O19/E19,"")</f>
        <v/>
      </c>
      <c r="Q19" s="26">
        <f>J19+L19+M19+N19</f>
        <v/>
      </c>
    </row>
    <row r="20">
      <c r="A20" s="23" t="n">
        <v>2041</v>
      </c>
      <c r="B20" s="24">
        <f>'Transmissão'!L20</f>
        <v/>
      </c>
      <c r="C20" s="24">
        <f>'Geração'!L20</f>
        <v/>
      </c>
      <c r="D20" s="24">
        <f>-Holding</f>
        <v/>
      </c>
      <c r="E20" s="26">
        <f>B20+C20+D20</f>
        <v/>
      </c>
      <c r="F20" s="24">
        <f>-MAX(0,E20)*TaxEff</f>
        <v/>
      </c>
      <c r="G20" s="24">
        <f>-'Transmissão'!B20</f>
        <v/>
      </c>
      <c r="H20" s="24">
        <f>'Transmissão'!N20</f>
        <v/>
      </c>
      <c r="I20" s="24">
        <f>-MAX(0,E20+F20)*Minor</f>
        <v/>
      </c>
      <c r="J20" s="26">
        <f>SUM(E20:I20)</f>
        <v/>
      </c>
      <c r="K20" s="24">
        <f>O19</f>
        <v/>
      </c>
      <c r="L20" s="24">
        <f>-G20*PctDivida</f>
        <v/>
      </c>
      <c r="M20" s="24">
        <f>-K20/PrazoDiv</f>
        <v/>
      </c>
      <c r="N20" s="24">
        <f>-K20*KdReal</f>
        <v/>
      </c>
      <c r="O20" s="24">
        <f>K20+L20+M20</f>
        <v/>
      </c>
      <c r="P20" s="28">
        <f>IFERROR(O20/E20,"")</f>
        <v/>
      </c>
      <c r="Q20" s="26">
        <f>J20+L20+M20+N20</f>
        <v/>
      </c>
    </row>
    <row r="21">
      <c r="A21" s="23" t="n">
        <v>2042</v>
      </c>
      <c r="B21" s="24">
        <f>'Transmissão'!L21</f>
        <v/>
      </c>
      <c r="C21" s="24">
        <f>'Geração'!L21</f>
        <v/>
      </c>
      <c r="D21" s="24">
        <f>-Holding</f>
        <v/>
      </c>
      <c r="E21" s="26">
        <f>B21+C21+D21</f>
        <v/>
      </c>
      <c r="F21" s="24">
        <f>-MAX(0,E21)*TaxEff</f>
        <v/>
      </c>
      <c r="G21" s="24">
        <f>-'Transmissão'!B21</f>
        <v/>
      </c>
      <c r="H21" s="24">
        <f>'Transmissão'!N21</f>
        <v/>
      </c>
      <c r="I21" s="24">
        <f>-MAX(0,E21+F21)*Minor</f>
        <v/>
      </c>
      <c r="J21" s="26">
        <f>SUM(E21:I21)</f>
        <v/>
      </c>
      <c r="K21" s="24">
        <f>O20</f>
        <v/>
      </c>
      <c r="L21" s="24">
        <f>-G21*PctDivida</f>
        <v/>
      </c>
      <c r="M21" s="24">
        <f>-K21/PrazoDiv</f>
        <v/>
      </c>
      <c r="N21" s="24">
        <f>-K21*KdReal</f>
        <v/>
      </c>
      <c r="O21" s="24">
        <f>K21+L21+M21</f>
        <v/>
      </c>
      <c r="P21" s="28">
        <f>IFERROR(O21/E21,"")</f>
        <v/>
      </c>
      <c r="Q21" s="26">
        <f>J21+L21+M21+N21</f>
        <v/>
      </c>
    </row>
    <row r="22">
      <c r="A22" s="23" t="n">
        <v>2043</v>
      </c>
      <c r="B22" s="24">
        <f>'Transmissão'!L22</f>
        <v/>
      </c>
      <c r="C22" s="24">
        <f>'Geração'!L22</f>
        <v/>
      </c>
      <c r="D22" s="24">
        <f>-Holding</f>
        <v/>
      </c>
      <c r="E22" s="26">
        <f>B22+C22+D22</f>
        <v/>
      </c>
      <c r="F22" s="24">
        <f>-MAX(0,E22)*TaxEff</f>
        <v/>
      </c>
      <c r="G22" s="24">
        <f>-'Transmissão'!B22</f>
        <v/>
      </c>
      <c r="H22" s="24">
        <f>'Transmissão'!N22</f>
        <v/>
      </c>
      <c r="I22" s="24">
        <f>-MAX(0,E22+F22)*Minor</f>
        <v/>
      </c>
      <c r="J22" s="26">
        <f>SUM(E22:I22)</f>
        <v/>
      </c>
      <c r="K22" s="24">
        <f>O21</f>
        <v/>
      </c>
      <c r="L22" s="24">
        <f>-G22*PctDivida</f>
        <v/>
      </c>
      <c r="M22" s="24">
        <f>-K22/PrazoDiv</f>
        <v/>
      </c>
      <c r="N22" s="24">
        <f>-K22*KdReal</f>
        <v/>
      </c>
      <c r="O22" s="24">
        <f>K22+L22+M22</f>
        <v/>
      </c>
      <c r="P22" s="28">
        <f>IFERROR(O22/E22,"")</f>
        <v/>
      </c>
      <c r="Q22" s="26">
        <f>J22+L22+M22+N22</f>
        <v/>
      </c>
    </row>
    <row r="23">
      <c r="A23" s="23" t="n">
        <v>2044</v>
      </c>
      <c r="B23" s="24">
        <f>'Transmissão'!L23</f>
        <v/>
      </c>
      <c r="C23" s="24">
        <f>'Geração'!L23</f>
        <v/>
      </c>
      <c r="D23" s="24">
        <f>-Holding</f>
        <v/>
      </c>
      <c r="E23" s="26">
        <f>B23+C23+D23</f>
        <v/>
      </c>
      <c r="F23" s="24">
        <f>-MAX(0,E23)*TaxEff</f>
        <v/>
      </c>
      <c r="G23" s="24">
        <f>-'Transmissão'!B23</f>
        <v/>
      </c>
      <c r="H23" s="24">
        <f>'Transmissão'!N23</f>
        <v/>
      </c>
      <c r="I23" s="24">
        <f>-MAX(0,E23+F23)*Minor</f>
        <v/>
      </c>
      <c r="J23" s="26">
        <f>SUM(E23:I23)</f>
        <v/>
      </c>
      <c r="K23" s="24">
        <f>O22</f>
        <v/>
      </c>
      <c r="L23" s="24">
        <f>-G23*PctDivida</f>
        <v/>
      </c>
      <c r="M23" s="24">
        <f>-K23/PrazoDiv</f>
        <v/>
      </c>
      <c r="N23" s="24">
        <f>-K23*KdReal</f>
        <v/>
      </c>
      <c r="O23" s="24">
        <f>K23+L23+M23</f>
        <v/>
      </c>
      <c r="P23" s="28">
        <f>IFERROR(O23/E23,"")</f>
        <v/>
      </c>
      <c r="Q23" s="26">
        <f>J23+L23+M23+N23</f>
        <v/>
      </c>
    </row>
    <row r="24">
      <c r="A24" s="23" t="n">
        <v>2045</v>
      </c>
      <c r="B24" s="24">
        <f>'Transmissão'!L24</f>
        <v/>
      </c>
      <c r="C24" s="24">
        <f>'Geração'!L24</f>
        <v/>
      </c>
      <c r="D24" s="24">
        <f>-Holding</f>
        <v/>
      </c>
      <c r="E24" s="26">
        <f>B24+C24+D24</f>
        <v/>
      </c>
      <c r="F24" s="24">
        <f>-MAX(0,E24)*TaxEff</f>
        <v/>
      </c>
      <c r="G24" s="24">
        <f>-'Transmissão'!B24</f>
        <v/>
      </c>
      <c r="H24" s="24">
        <f>'Transmissão'!N24</f>
        <v/>
      </c>
      <c r="I24" s="24">
        <f>-MAX(0,E24+F24)*Minor</f>
        <v/>
      </c>
      <c r="J24" s="26">
        <f>SUM(E24:I24)</f>
        <v/>
      </c>
      <c r="K24" s="24">
        <f>O23</f>
        <v/>
      </c>
      <c r="L24" s="24">
        <f>-G24*PctDivida</f>
        <v/>
      </c>
      <c r="M24" s="24">
        <f>-K24/PrazoDiv</f>
        <v/>
      </c>
      <c r="N24" s="24">
        <f>-K24*KdReal</f>
        <v/>
      </c>
      <c r="O24" s="24">
        <f>K24+L24+M24</f>
        <v/>
      </c>
      <c r="P24" s="28">
        <f>IFERROR(O24/E24,"")</f>
        <v/>
      </c>
      <c r="Q24" s="26">
        <f>J24+L24+M24+N24</f>
        <v/>
      </c>
    </row>
    <row r="25">
      <c r="A25" s="23" t="n">
        <v>2046</v>
      </c>
      <c r="B25" s="24">
        <f>'Transmissão'!L25</f>
        <v/>
      </c>
      <c r="C25" s="24">
        <f>'Geração'!L25</f>
        <v/>
      </c>
      <c r="D25" s="24">
        <f>-Holding</f>
        <v/>
      </c>
      <c r="E25" s="26">
        <f>B25+C25+D25</f>
        <v/>
      </c>
      <c r="F25" s="24">
        <f>-MAX(0,E25)*TaxEff</f>
        <v/>
      </c>
      <c r="G25" s="24">
        <f>-'Transmissão'!B25</f>
        <v/>
      </c>
      <c r="H25" s="24">
        <f>'Transmissão'!N25</f>
        <v/>
      </c>
      <c r="I25" s="24">
        <f>-MAX(0,E25+F25)*Minor</f>
        <v/>
      </c>
      <c r="J25" s="26">
        <f>SUM(E25:I25)</f>
        <v/>
      </c>
      <c r="K25" s="24">
        <f>O24</f>
        <v/>
      </c>
      <c r="L25" s="24">
        <f>-G25*PctDivida</f>
        <v/>
      </c>
      <c r="M25" s="24">
        <f>-K25/PrazoDiv</f>
        <v/>
      </c>
      <c r="N25" s="24">
        <f>-K25*KdReal</f>
        <v/>
      </c>
      <c r="O25" s="24">
        <f>K25+L25+M25</f>
        <v/>
      </c>
      <c r="P25" s="28">
        <f>IFERROR(O25/E25,"")</f>
        <v/>
      </c>
      <c r="Q25" s="26">
        <f>J25+L25+M25+N25</f>
        <v/>
      </c>
    </row>
    <row r="26">
      <c r="A26" s="23" t="n">
        <v>2047</v>
      </c>
      <c r="B26" s="24">
        <f>'Transmissão'!L26</f>
        <v/>
      </c>
      <c r="C26" s="24">
        <f>'Geração'!L26</f>
        <v/>
      </c>
      <c r="D26" s="24">
        <f>-Holding</f>
        <v/>
      </c>
      <c r="E26" s="26">
        <f>B26+C26+D26</f>
        <v/>
      </c>
      <c r="F26" s="24">
        <f>-MAX(0,E26)*TaxEff</f>
        <v/>
      </c>
      <c r="G26" s="24">
        <f>-'Transmissão'!B26</f>
        <v/>
      </c>
      <c r="H26" s="24">
        <f>'Transmissão'!N26</f>
        <v/>
      </c>
      <c r="I26" s="24">
        <f>-MAX(0,E26+F26)*Minor</f>
        <v/>
      </c>
      <c r="J26" s="26">
        <f>SUM(E26:I26)</f>
        <v/>
      </c>
      <c r="K26" s="24">
        <f>O25</f>
        <v/>
      </c>
      <c r="L26" s="24">
        <f>-G26*PctDivida</f>
        <v/>
      </c>
      <c r="M26" s="24">
        <f>-K26/PrazoDiv</f>
        <v/>
      </c>
      <c r="N26" s="24">
        <f>-K26*KdReal</f>
        <v/>
      </c>
      <c r="O26" s="24">
        <f>K26+L26+M26</f>
        <v/>
      </c>
      <c r="P26" s="28">
        <f>IFERROR(O26/E26,"")</f>
        <v/>
      </c>
      <c r="Q26" s="26">
        <f>J26+L26+M26+N26</f>
        <v/>
      </c>
    </row>
    <row r="27">
      <c r="A27" s="23" t="n">
        <v>2048</v>
      </c>
      <c r="B27" s="24">
        <f>'Transmissão'!L27</f>
        <v/>
      </c>
      <c r="C27" s="24">
        <f>'Geração'!L27</f>
        <v/>
      </c>
      <c r="D27" s="24">
        <f>-Holding</f>
        <v/>
      </c>
      <c r="E27" s="26">
        <f>B27+C27+D27</f>
        <v/>
      </c>
      <c r="F27" s="24">
        <f>-MAX(0,E27)*TaxEff</f>
        <v/>
      </c>
      <c r="G27" s="24">
        <f>-'Transmissão'!B27</f>
        <v/>
      </c>
      <c r="H27" s="24">
        <f>'Transmissão'!N27</f>
        <v/>
      </c>
      <c r="I27" s="24">
        <f>-MAX(0,E27+F27)*Minor</f>
        <v/>
      </c>
      <c r="J27" s="26">
        <f>SUM(E27:I27)</f>
        <v/>
      </c>
      <c r="K27" s="24">
        <f>O26</f>
        <v/>
      </c>
      <c r="L27" s="24">
        <f>-G27*PctDivida</f>
        <v/>
      </c>
      <c r="M27" s="24">
        <f>-K27/PrazoDiv</f>
        <v/>
      </c>
      <c r="N27" s="24">
        <f>-K27*KdReal</f>
        <v/>
      </c>
      <c r="O27" s="24">
        <f>K27+L27+M27</f>
        <v/>
      </c>
      <c r="P27" s="28">
        <f>IFERROR(O27/E27,"")</f>
        <v/>
      </c>
      <c r="Q27" s="26">
        <f>J27+L27+M27+N27</f>
        <v/>
      </c>
    </row>
    <row r="28">
      <c r="A28" s="23" t="n">
        <v>2049</v>
      </c>
      <c r="B28" s="24">
        <f>'Transmissão'!L28</f>
        <v/>
      </c>
      <c r="C28" s="24">
        <f>'Geração'!L28</f>
        <v/>
      </c>
      <c r="D28" s="24">
        <f>-Holding</f>
        <v/>
      </c>
      <c r="E28" s="26">
        <f>B28+C28+D28</f>
        <v/>
      </c>
      <c r="F28" s="24">
        <f>-MAX(0,E28)*TaxEff</f>
        <v/>
      </c>
      <c r="G28" s="24">
        <f>-'Transmissão'!B28</f>
        <v/>
      </c>
      <c r="H28" s="24">
        <f>'Transmissão'!N28</f>
        <v/>
      </c>
      <c r="I28" s="24">
        <f>-MAX(0,E28+F28)*Minor</f>
        <v/>
      </c>
      <c r="J28" s="26">
        <f>SUM(E28:I28)</f>
        <v/>
      </c>
      <c r="K28" s="24">
        <f>O27</f>
        <v/>
      </c>
      <c r="L28" s="24">
        <f>-G28*PctDivida</f>
        <v/>
      </c>
      <c r="M28" s="24">
        <f>-K28/PrazoDiv</f>
        <v/>
      </c>
      <c r="N28" s="24">
        <f>-K28*KdReal</f>
        <v/>
      </c>
      <c r="O28" s="24">
        <f>K28+L28+M28</f>
        <v/>
      </c>
      <c r="P28" s="28">
        <f>IFERROR(O28/E28,"")</f>
        <v/>
      </c>
      <c r="Q28" s="26">
        <f>J28+L28+M28+N28</f>
        <v/>
      </c>
    </row>
    <row r="29">
      <c r="A29" s="23" t="n">
        <v>2050</v>
      </c>
      <c r="B29" s="24">
        <f>'Transmissão'!L29</f>
        <v/>
      </c>
      <c r="C29" s="24">
        <f>'Geração'!L29</f>
        <v/>
      </c>
      <c r="D29" s="24">
        <f>-Holding</f>
        <v/>
      </c>
      <c r="E29" s="26">
        <f>B29+C29+D29</f>
        <v/>
      </c>
      <c r="F29" s="24">
        <f>-MAX(0,E29)*TaxEff</f>
        <v/>
      </c>
      <c r="G29" s="24">
        <f>-'Transmissão'!B29</f>
        <v/>
      </c>
      <c r="H29" s="24">
        <f>'Transmissão'!N29</f>
        <v/>
      </c>
      <c r="I29" s="24">
        <f>-MAX(0,E29+F29)*Minor</f>
        <v/>
      </c>
      <c r="J29" s="26">
        <f>SUM(E29:I29)</f>
        <v/>
      </c>
      <c r="K29" s="24">
        <f>O28</f>
        <v/>
      </c>
      <c r="L29" s="24">
        <f>-G29*PctDivida</f>
        <v/>
      </c>
      <c r="M29" s="24">
        <f>-K29/PrazoDiv</f>
        <v/>
      </c>
      <c r="N29" s="24">
        <f>-K29*KdReal</f>
        <v/>
      </c>
      <c r="O29" s="24">
        <f>K29+L29+M29</f>
        <v/>
      </c>
      <c r="P29" s="28">
        <f>IFERROR(O29/E29,"")</f>
        <v/>
      </c>
      <c r="Q29" s="26">
        <f>J29+L29+M29+N29</f>
        <v/>
      </c>
    </row>
    <row r="30">
      <c r="A30" s="23" t="n">
        <v>2051</v>
      </c>
      <c r="B30" s="24">
        <f>'Transmissão'!L30</f>
        <v/>
      </c>
      <c r="C30" s="24">
        <f>'Geração'!L30</f>
        <v/>
      </c>
      <c r="D30" s="24">
        <f>-Holding</f>
        <v/>
      </c>
      <c r="E30" s="26">
        <f>B30+C30+D30</f>
        <v/>
      </c>
      <c r="F30" s="24">
        <f>-MAX(0,E30)*TaxEff</f>
        <v/>
      </c>
      <c r="G30" s="24">
        <f>-'Transmissão'!B30</f>
        <v/>
      </c>
      <c r="H30" s="24">
        <f>'Transmissão'!N30</f>
        <v/>
      </c>
      <c r="I30" s="24">
        <f>-MAX(0,E30+F30)*Minor</f>
        <v/>
      </c>
      <c r="J30" s="26">
        <f>SUM(E30:I30)</f>
        <v/>
      </c>
      <c r="K30" s="24">
        <f>O29</f>
        <v/>
      </c>
      <c r="L30" s="24">
        <f>-G30*PctDivida</f>
        <v/>
      </c>
      <c r="M30" s="24">
        <f>-K30/PrazoDiv</f>
        <v/>
      </c>
      <c r="N30" s="24">
        <f>-K30*KdReal</f>
        <v/>
      </c>
      <c r="O30" s="24">
        <f>K30+L30+M30</f>
        <v/>
      </c>
      <c r="P30" s="28">
        <f>IFERROR(O30/E30,"")</f>
        <v/>
      </c>
      <c r="Q30" s="26">
        <f>J30+L30+M30+N30</f>
        <v/>
      </c>
    </row>
    <row r="31">
      <c r="A31" s="23" t="n">
        <v>2052</v>
      </c>
      <c r="B31" s="24">
        <f>'Transmissão'!L31</f>
        <v/>
      </c>
      <c r="C31" s="24">
        <f>'Geração'!L31</f>
        <v/>
      </c>
      <c r="D31" s="24">
        <f>-Holding</f>
        <v/>
      </c>
      <c r="E31" s="26">
        <f>B31+C31+D31</f>
        <v/>
      </c>
      <c r="F31" s="24">
        <f>-MAX(0,E31)*TaxEff</f>
        <v/>
      </c>
      <c r="G31" s="24">
        <f>-'Transmissão'!B31</f>
        <v/>
      </c>
      <c r="H31" s="24">
        <f>'Transmissão'!N31</f>
        <v/>
      </c>
      <c r="I31" s="24">
        <f>-MAX(0,E31+F31)*Minor</f>
        <v/>
      </c>
      <c r="J31" s="26">
        <f>SUM(E31:I31)</f>
        <v/>
      </c>
      <c r="K31" s="24">
        <f>O30</f>
        <v/>
      </c>
      <c r="L31" s="24">
        <f>-G31*PctDivida</f>
        <v/>
      </c>
      <c r="M31" s="24">
        <f>-K31/PrazoDiv</f>
        <v/>
      </c>
      <c r="N31" s="24">
        <f>-K31*KdReal</f>
        <v/>
      </c>
      <c r="O31" s="24">
        <f>K31+L31+M31</f>
        <v/>
      </c>
      <c r="P31" s="28">
        <f>IFERROR(O31/E31,"")</f>
        <v/>
      </c>
      <c r="Q31" s="26">
        <f>J31+L31+M31+N31</f>
        <v/>
      </c>
    </row>
    <row r="32">
      <c r="A32" s="23" t="n">
        <v>2053</v>
      </c>
      <c r="B32" s="24">
        <f>'Transmissão'!L32</f>
        <v/>
      </c>
      <c r="C32" s="24">
        <f>'Geração'!L32</f>
        <v/>
      </c>
      <c r="D32" s="24">
        <f>-Holding</f>
        <v/>
      </c>
      <c r="E32" s="26">
        <f>B32+C32+D32</f>
        <v/>
      </c>
      <c r="F32" s="24">
        <f>-MAX(0,E32)*TaxEff</f>
        <v/>
      </c>
      <c r="G32" s="24">
        <f>-'Transmissão'!B32</f>
        <v/>
      </c>
      <c r="H32" s="24">
        <f>'Transmissão'!N32</f>
        <v/>
      </c>
      <c r="I32" s="24">
        <f>-MAX(0,E32+F32)*Minor</f>
        <v/>
      </c>
      <c r="J32" s="26">
        <f>SUM(E32:I32)</f>
        <v/>
      </c>
      <c r="K32" s="24">
        <f>O31</f>
        <v/>
      </c>
      <c r="L32" s="24">
        <f>-G32*PctDivida</f>
        <v/>
      </c>
      <c r="M32" s="24">
        <f>-K32/PrazoDiv</f>
        <v/>
      </c>
      <c r="N32" s="24">
        <f>-K32*KdReal</f>
        <v/>
      </c>
      <c r="O32" s="24">
        <f>K32+L32+M32</f>
        <v/>
      </c>
      <c r="P32" s="28">
        <f>IFERROR(O32/E32,"")</f>
        <v/>
      </c>
      <c r="Q32" s="26">
        <f>J32+L32+M32+N32</f>
        <v/>
      </c>
    </row>
    <row r="33">
      <c r="A33" s="23" t="n">
        <v>2054</v>
      </c>
      <c r="B33" s="24">
        <f>'Transmissão'!L33</f>
        <v/>
      </c>
      <c r="C33" s="24">
        <f>'Geração'!L33</f>
        <v/>
      </c>
      <c r="D33" s="24">
        <f>-Holding</f>
        <v/>
      </c>
      <c r="E33" s="26">
        <f>B33+C33+D33</f>
        <v/>
      </c>
      <c r="F33" s="24">
        <f>-MAX(0,E33)*TaxEff</f>
        <v/>
      </c>
      <c r="G33" s="24">
        <f>-'Transmissão'!B33</f>
        <v/>
      </c>
      <c r="H33" s="24">
        <f>'Transmissão'!N33</f>
        <v/>
      </c>
      <c r="I33" s="24">
        <f>-MAX(0,E33+F33)*Minor</f>
        <v/>
      </c>
      <c r="J33" s="26">
        <f>SUM(E33:I33)</f>
        <v/>
      </c>
      <c r="K33" s="24">
        <f>O32</f>
        <v/>
      </c>
      <c r="L33" s="24">
        <f>-G33*PctDivida</f>
        <v/>
      </c>
      <c r="M33" s="24">
        <f>-K33/PrazoDiv</f>
        <v/>
      </c>
      <c r="N33" s="24">
        <f>-K33*KdReal</f>
        <v/>
      </c>
      <c r="O33" s="24">
        <f>K33+L33+M33</f>
        <v/>
      </c>
      <c r="P33" s="28">
        <f>IFERROR(O33/E33,"")</f>
        <v/>
      </c>
      <c r="Q33" s="26">
        <f>J33+L33+M33+N33</f>
        <v/>
      </c>
    </row>
    <row r="34">
      <c r="A34" s="23" t="n">
        <v>2055</v>
      </c>
      <c r="B34" s="24">
        <f>'Transmissão'!L34</f>
        <v/>
      </c>
      <c r="C34" s="24">
        <f>'Geração'!L34</f>
        <v/>
      </c>
      <c r="D34" s="24">
        <f>-Holding</f>
        <v/>
      </c>
      <c r="E34" s="26">
        <f>B34+C34+D34</f>
        <v/>
      </c>
      <c r="F34" s="24">
        <f>-MAX(0,E34)*TaxEff</f>
        <v/>
      </c>
      <c r="G34" s="24">
        <f>-'Transmissão'!B34</f>
        <v/>
      </c>
      <c r="H34" s="24">
        <f>'Transmissão'!N34</f>
        <v/>
      </c>
      <c r="I34" s="24">
        <f>-MAX(0,E34+F34)*Minor</f>
        <v/>
      </c>
      <c r="J34" s="26">
        <f>SUM(E34:I34)</f>
        <v/>
      </c>
      <c r="K34" s="24">
        <f>O33</f>
        <v/>
      </c>
      <c r="L34" s="24">
        <f>-G34*PctDivida</f>
        <v/>
      </c>
      <c r="M34" s="24">
        <f>-K34/PrazoDiv</f>
        <v/>
      </c>
      <c r="N34" s="24">
        <f>-K34*KdReal</f>
        <v/>
      </c>
      <c r="O34" s="24">
        <f>K34+L34+M34</f>
        <v/>
      </c>
      <c r="P34" s="28">
        <f>IFERROR(O34/E34,"")</f>
        <v/>
      </c>
      <c r="Q34" s="26">
        <f>J34+L34+M34+N34</f>
        <v/>
      </c>
    </row>
    <row r="35">
      <c r="A35" s="23" t="n">
        <v>2056</v>
      </c>
      <c r="B35" s="24">
        <f>'Transmissão'!L35</f>
        <v/>
      </c>
      <c r="C35" s="24">
        <f>'Geração'!L35</f>
        <v/>
      </c>
      <c r="D35" s="24">
        <f>-Holding</f>
        <v/>
      </c>
      <c r="E35" s="26">
        <f>B35+C35+D35</f>
        <v/>
      </c>
      <c r="F35" s="24">
        <f>-MAX(0,E35)*TaxEff</f>
        <v/>
      </c>
      <c r="G35" s="24">
        <f>-'Transmissão'!B35</f>
        <v/>
      </c>
      <c r="H35" s="24">
        <f>'Transmissão'!N35</f>
        <v/>
      </c>
      <c r="I35" s="24">
        <f>-MAX(0,E35+F35)*Minor</f>
        <v/>
      </c>
      <c r="J35" s="26">
        <f>SUM(E35:I35)</f>
        <v/>
      </c>
      <c r="K35" s="24">
        <f>O34</f>
        <v/>
      </c>
      <c r="L35" s="24">
        <f>-G35*PctDivida</f>
        <v/>
      </c>
      <c r="M35" s="24">
        <f>-K35/PrazoDiv</f>
        <v/>
      </c>
      <c r="N35" s="24">
        <f>-K35*KdReal</f>
        <v/>
      </c>
      <c r="O35" s="24">
        <f>K35+L35+M35</f>
        <v/>
      </c>
      <c r="P35" s="28">
        <f>IFERROR(O35/E35,"")</f>
        <v/>
      </c>
      <c r="Q35" s="26">
        <f>J35+L35+M35+N35</f>
        <v/>
      </c>
    </row>
    <row r="36">
      <c r="A36" s="23" t="n">
        <v>2057</v>
      </c>
      <c r="B36" s="24">
        <f>'Transmissão'!L36</f>
        <v/>
      </c>
      <c r="C36" s="24">
        <f>'Geração'!L36</f>
        <v/>
      </c>
      <c r="D36" s="24">
        <f>-Holding</f>
        <v/>
      </c>
      <c r="E36" s="26">
        <f>B36+C36+D36</f>
        <v/>
      </c>
      <c r="F36" s="24">
        <f>-MAX(0,E36)*TaxEff</f>
        <v/>
      </c>
      <c r="G36" s="24">
        <f>-'Transmissão'!B36</f>
        <v/>
      </c>
      <c r="H36" s="24">
        <f>'Transmissão'!N36</f>
        <v/>
      </c>
      <c r="I36" s="24">
        <f>-MAX(0,E36+F36)*Minor</f>
        <v/>
      </c>
      <c r="J36" s="26">
        <f>SUM(E36:I36)</f>
        <v/>
      </c>
      <c r="K36" s="24">
        <f>O35</f>
        <v/>
      </c>
      <c r="L36" s="24">
        <f>-G36*PctDivida</f>
        <v/>
      </c>
      <c r="M36" s="24">
        <f>-K36/PrazoDiv</f>
        <v/>
      </c>
      <c r="N36" s="24">
        <f>-K36*KdReal</f>
        <v/>
      </c>
      <c r="O36" s="24">
        <f>K36+L36+M36</f>
        <v/>
      </c>
      <c r="P36" s="28">
        <f>IFERROR(O36/E36,"")</f>
        <v/>
      </c>
      <c r="Q36" s="26">
        <f>J36+L36+M36+N36</f>
        <v/>
      </c>
    </row>
    <row r="37">
      <c r="A37" s="23" t="n">
        <v>2058</v>
      </c>
      <c r="B37" s="24">
        <f>'Transmissão'!L37</f>
        <v/>
      </c>
      <c r="C37" s="24">
        <f>'Geração'!L37</f>
        <v/>
      </c>
      <c r="D37" s="24">
        <f>-Holding</f>
        <v/>
      </c>
      <c r="E37" s="26">
        <f>B37+C37+D37</f>
        <v/>
      </c>
      <c r="F37" s="24">
        <f>-MAX(0,E37)*TaxEff</f>
        <v/>
      </c>
      <c r="G37" s="24">
        <f>-'Transmissão'!B37</f>
        <v/>
      </c>
      <c r="H37" s="24">
        <f>'Transmissão'!N37</f>
        <v/>
      </c>
      <c r="I37" s="24">
        <f>-MAX(0,E37+F37)*Minor</f>
        <v/>
      </c>
      <c r="J37" s="26">
        <f>SUM(E37:I37)</f>
        <v/>
      </c>
      <c r="K37" s="24">
        <f>O36</f>
        <v/>
      </c>
      <c r="L37" s="24">
        <f>-G37*PctDivida</f>
        <v/>
      </c>
      <c r="M37" s="24">
        <f>-K37/PrazoDiv</f>
        <v/>
      </c>
      <c r="N37" s="24">
        <f>-K37*KdReal</f>
        <v/>
      </c>
      <c r="O37" s="24">
        <f>K37+L37+M37</f>
        <v/>
      </c>
      <c r="P37" s="28">
        <f>IFERROR(O37/E37,"")</f>
        <v/>
      </c>
      <c r="Q37" s="26">
        <f>J37+L37+M37+N37</f>
        <v/>
      </c>
    </row>
    <row r="38">
      <c r="A38" s="23" t="n">
        <v>2059</v>
      </c>
      <c r="B38" s="24">
        <f>'Transmissão'!L38</f>
        <v/>
      </c>
      <c r="C38" s="24">
        <f>'Geração'!L38</f>
        <v/>
      </c>
      <c r="D38" s="24">
        <f>-Holding</f>
        <v/>
      </c>
      <c r="E38" s="26">
        <f>B38+C38+D38</f>
        <v/>
      </c>
      <c r="F38" s="24">
        <f>-MAX(0,E38)*TaxEff</f>
        <v/>
      </c>
      <c r="G38" s="24">
        <f>-'Transmissão'!B38</f>
        <v/>
      </c>
      <c r="H38" s="24">
        <f>'Transmissão'!N38</f>
        <v/>
      </c>
      <c r="I38" s="24">
        <f>-MAX(0,E38+F38)*Minor</f>
        <v/>
      </c>
      <c r="J38" s="26">
        <f>SUM(E38:I38)</f>
        <v/>
      </c>
      <c r="K38" s="24">
        <f>O37</f>
        <v/>
      </c>
      <c r="L38" s="24">
        <f>-G38*PctDivida</f>
        <v/>
      </c>
      <c r="M38" s="24">
        <f>-K38/PrazoDiv</f>
        <v/>
      </c>
      <c r="N38" s="24">
        <f>-K38*KdReal</f>
        <v/>
      </c>
      <c r="O38" s="24">
        <f>K38+L38+M38</f>
        <v/>
      </c>
      <c r="P38" s="28">
        <f>IFERROR(O38/E38,"")</f>
        <v/>
      </c>
      <c r="Q38" s="26">
        <f>J38+L38+M38+N38</f>
        <v/>
      </c>
    </row>
    <row r="39">
      <c r="A39" s="23" t="n">
        <v>2060</v>
      </c>
      <c r="B39" s="24">
        <f>'Transmissão'!L39</f>
        <v/>
      </c>
      <c r="C39" s="24">
        <f>'Geração'!L39</f>
        <v/>
      </c>
      <c r="D39" s="24">
        <f>-Holding</f>
        <v/>
      </c>
      <c r="E39" s="26">
        <f>B39+C39+D39</f>
        <v/>
      </c>
      <c r="F39" s="24">
        <f>-MAX(0,E39)*TaxEff</f>
        <v/>
      </c>
      <c r="G39" s="24">
        <f>-'Transmissão'!B39</f>
        <v/>
      </c>
      <c r="H39" s="24">
        <f>'Transmissão'!N39</f>
        <v/>
      </c>
      <c r="I39" s="24">
        <f>-MAX(0,E39+F39)*Minor</f>
        <v/>
      </c>
      <c r="J39" s="26">
        <f>SUM(E39:I39)</f>
        <v/>
      </c>
      <c r="K39" s="24">
        <f>O38</f>
        <v/>
      </c>
      <c r="L39" s="24">
        <f>-G39*PctDivida</f>
        <v/>
      </c>
      <c r="M39" s="24">
        <f>-K39/PrazoDiv</f>
        <v/>
      </c>
      <c r="N39" s="24">
        <f>-K39*KdReal</f>
        <v/>
      </c>
      <c r="O39" s="24">
        <f>K39+L39+M39</f>
        <v/>
      </c>
      <c r="P39" s="28">
        <f>IFERROR(O39/E39,"")</f>
        <v/>
      </c>
      <c r="Q39" s="26">
        <f>J39+L39+M39+N39</f>
        <v/>
      </c>
    </row>
    <row r="40">
      <c r="A40" s="23" t="n">
        <v>2061</v>
      </c>
      <c r="B40" s="24">
        <f>'Transmissão'!L40</f>
        <v/>
      </c>
      <c r="C40" s="24">
        <f>'Geração'!L40</f>
        <v/>
      </c>
      <c r="D40" s="24">
        <f>-Holding</f>
        <v/>
      </c>
      <c r="E40" s="26">
        <f>B40+C40+D40</f>
        <v/>
      </c>
      <c r="F40" s="24">
        <f>-MAX(0,E40)*TaxEff</f>
        <v/>
      </c>
      <c r="G40" s="24">
        <f>-'Transmissão'!B40</f>
        <v/>
      </c>
      <c r="H40" s="24">
        <f>'Transmissão'!N40</f>
        <v/>
      </c>
      <c r="I40" s="24">
        <f>-MAX(0,E40+F40)*Minor</f>
        <v/>
      </c>
      <c r="J40" s="26">
        <f>SUM(E40:I40)</f>
        <v/>
      </c>
      <c r="K40" s="24">
        <f>O39</f>
        <v/>
      </c>
      <c r="L40" s="24">
        <f>-G40*PctDivida</f>
        <v/>
      </c>
      <c r="M40" s="24">
        <f>-K40/PrazoDiv</f>
        <v/>
      </c>
      <c r="N40" s="24">
        <f>-K40*KdReal</f>
        <v/>
      </c>
      <c r="O40" s="24">
        <f>K40+L40+M40</f>
        <v/>
      </c>
      <c r="P40" s="28">
        <f>IFERROR(O40/E40,"")</f>
        <v/>
      </c>
      <c r="Q40" s="26">
        <f>J40+L40+M40+N40</f>
        <v/>
      </c>
    </row>
    <row r="41">
      <c r="A41" s="23" t="n">
        <v>2062</v>
      </c>
      <c r="B41" s="24">
        <f>'Transmissão'!L41</f>
        <v/>
      </c>
      <c r="C41" s="24">
        <f>'Geração'!L41</f>
        <v/>
      </c>
      <c r="D41" s="24">
        <f>-Holding</f>
        <v/>
      </c>
      <c r="E41" s="26">
        <f>B41+C41+D41</f>
        <v/>
      </c>
      <c r="F41" s="24">
        <f>-MAX(0,E41)*TaxEff</f>
        <v/>
      </c>
      <c r="G41" s="24">
        <f>-'Transmissão'!B41</f>
        <v/>
      </c>
      <c r="H41" s="24">
        <f>'Transmissão'!N41</f>
        <v/>
      </c>
      <c r="I41" s="24">
        <f>-MAX(0,E41+F41)*Minor</f>
        <v/>
      </c>
      <c r="J41" s="26">
        <f>SUM(E41:I41)</f>
        <v/>
      </c>
      <c r="K41" s="24">
        <f>O40</f>
        <v/>
      </c>
      <c r="L41" s="24">
        <f>-G41*PctDivida</f>
        <v/>
      </c>
      <c r="M41" s="24">
        <f>-K41/PrazoDiv</f>
        <v/>
      </c>
      <c r="N41" s="24">
        <f>-K41*KdReal</f>
        <v/>
      </c>
      <c r="O41" s="24">
        <f>K41+L41+M41</f>
        <v/>
      </c>
      <c r="P41" s="28">
        <f>IFERROR(O41/E41,"")</f>
        <v/>
      </c>
      <c r="Q41" s="26">
        <f>J41+L41+M41+N41</f>
        <v/>
      </c>
    </row>
    <row r="42">
      <c r="A42" s="23" t="n">
        <v>2063</v>
      </c>
      <c r="B42" s="24">
        <f>'Transmissão'!L42</f>
        <v/>
      </c>
      <c r="C42" s="24">
        <f>'Geração'!L42</f>
        <v/>
      </c>
      <c r="D42" s="24">
        <f>-Holding</f>
        <v/>
      </c>
      <c r="E42" s="26">
        <f>B42+C42+D42</f>
        <v/>
      </c>
      <c r="F42" s="24">
        <f>-MAX(0,E42)*TaxEff</f>
        <v/>
      </c>
      <c r="G42" s="24">
        <f>-'Transmissão'!B42</f>
        <v/>
      </c>
      <c r="H42" s="24">
        <f>'Transmissão'!N42</f>
        <v/>
      </c>
      <c r="I42" s="24">
        <f>-MAX(0,E42+F42)*Minor</f>
        <v/>
      </c>
      <c r="J42" s="26">
        <f>SUM(E42:I42)</f>
        <v/>
      </c>
      <c r="K42" s="24">
        <f>O41</f>
        <v/>
      </c>
      <c r="L42" s="24">
        <f>-G42*PctDivida</f>
        <v/>
      </c>
      <c r="M42" s="24">
        <f>-K42/PrazoDiv</f>
        <v/>
      </c>
      <c r="N42" s="24">
        <f>-K42*KdReal</f>
        <v/>
      </c>
      <c r="O42" s="24">
        <f>K42+L42+M42</f>
        <v/>
      </c>
      <c r="P42" s="28">
        <f>IFERROR(O42/E42,"")</f>
        <v/>
      </c>
      <c r="Q42" s="26">
        <f>J42+L42+M42+N42</f>
        <v/>
      </c>
    </row>
    <row r="43">
      <c r="A43" s="23" t="n">
        <v>2064</v>
      </c>
      <c r="B43" s="24">
        <f>'Transmissão'!L43</f>
        <v/>
      </c>
      <c r="C43" s="24">
        <f>'Geração'!L43</f>
        <v/>
      </c>
      <c r="D43" s="24">
        <f>-Holding</f>
        <v/>
      </c>
      <c r="E43" s="26">
        <f>B43+C43+D43</f>
        <v/>
      </c>
      <c r="F43" s="24">
        <f>-MAX(0,E43)*TaxEff</f>
        <v/>
      </c>
      <c r="G43" s="24">
        <f>-'Transmissão'!B43</f>
        <v/>
      </c>
      <c r="H43" s="24">
        <f>'Transmissão'!N43</f>
        <v/>
      </c>
      <c r="I43" s="24">
        <f>-MAX(0,E43+F43)*Minor</f>
        <v/>
      </c>
      <c r="J43" s="26">
        <f>SUM(E43:I43)</f>
        <v/>
      </c>
      <c r="K43" s="24">
        <f>O42</f>
        <v/>
      </c>
      <c r="L43" s="24">
        <f>-G43*PctDivida</f>
        <v/>
      </c>
      <c r="M43" s="24">
        <f>-K43/PrazoDiv</f>
        <v/>
      </c>
      <c r="N43" s="24">
        <f>-K43*KdReal</f>
        <v/>
      </c>
      <c r="O43" s="24">
        <f>K43+L43+M43</f>
        <v/>
      </c>
      <c r="P43" s="28">
        <f>IFERROR(O43/E43,"")</f>
        <v/>
      </c>
      <c r="Q43" s="26">
        <f>J43+L43+M43+N43</f>
        <v/>
      </c>
    </row>
    <row r="44">
      <c r="A44" s="23" t="n">
        <v>2065</v>
      </c>
      <c r="B44" s="24">
        <f>'Transmissão'!L44</f>
        <v/>
      </c>
      <c r="C44" s="24">
        <f>'Geração'!L44</f>
        <v/>
      </c>
      <c r="D44" s="24">
        <f>-Holding</f>
        <v/>
      </c>
      <c r="E44" s="26">
        <f>B44+C44+D44</f>
        <v/>
      </c>
      <c r="F44" s="24">
        <f>-MAX(0,E44)*TaxEff</f>
        <v/>
      </c>
      <c r="G44" s="24">
        <f>-'Transmissão'!B44</f>
        <v/>
      </c>
      <c r="H44" s="24">
        <f>'Transmissão'!N44</f>
        <v/>
      </c>
      <c r="I44" s="24">
        <f>-MAX(0,E44+F44)*Minor</f>
        <v/>
      </c>
      <c r="J44" s="26">
        <f>SUM(E44:I44)</f>
        <v/>
      </c>
      <c r="K44" s="24">
        <f>O43</f>
        <v/>
      </c>
      <c r="L44" s="24">
        <f>-G44*PctDivida</f>
        <v/>
      </c>
      <c r="M44" s="24">
        <f>-K44/PrazoDiv</f>
        <v/>
      </c>
      <c r="N44" s="24">
        <f>-K44*KdReal</f>
        <v/>
      </c>
      <c r="O44" s="24">
        <f>K44+L44+M44</f>
        <v/>
      </c>
      <c r="P44" s="28">
        <f>IFERROR(O44/E44,"")</f>
        <v/>
      </c>
      <c r="Q44" s="26">
        <f>J44+L44+M44+N44</f>
        <v/>
      </c>
    </row>
    <row r="45">
      <c r="A45" s="23" t="n">
        <v>2066</v>
      </c>
      <c r="B45" s="24">
        <f>'Transmissão'!L45</f>
        <v/>
      </c>
      <c r="C45" s="24">
        <f>'Geração'!L45</f>
        <v/>
      </c>
      <c r="D45" s="24">
        <f>-Holding</f>
        <v/>
      </c>
      <c r="E45" s="26">
        <f>B45+C45+D45</f>
        <v/>
      </c>
      <c r="F45" s="24">
        <f>-MAX(0,E45)*TaxEff</f>
        <v/>
      </c>
      <c r="G45" s="24">
        <f>-'Transmissão'!B45</f>
        <v/>
      </c>
      <c r="H45" s="24">
        <f>'Transmissão'!N45</f>
        <v/>
      </c>
      <c r="I45" s="24">
        <f>-MAX(0,E45+F45)*Minor</f>
        <v/>
      </c>
      <c r="J45" s="26">
        <f>SUM(E45:I45)</f>
        <v/>
      </c>
      <c r="K45" s="24">
        <f>O44</f>
        <v/>
      </c>
      <c r="L45" s="24">
        <f>-G45*PctDivida</f>
        <v/>
      </c>
      <c r="M45" s="24">
        <f>-K45/PrazoDiv</f>
        <v/>
      </c>
      <c r="N45" s="24">
        <f>-K45*KdReal</f>
        <v/>
      </c>
      <c r="O45" s="24">
        <f>K45+L45+M45</f>
        <v/>
      </c>
      <c r="P45" s="28">
        <f>IFERROR(O45/E45,"")</f>
        <v/>
      </c>
      <c r="Q45" s="26">
        <f>J45+L45+M45+N45</f>
        <v/>
      </c>
    </row>
    <row r="46">
      <c r="A46" s="23" t="n">
        <v>2067</v>
      </c>
      <c r="B46" s="24">
        <f>'Transmissão'!L46</f>
        <v/>
      </c>
      <c r="C46" s="24">
        <f>'Geração'!L46</f>
        <v/>
      </c>
      <c r="D46" s="24">
        <f>-Holding</f>
        <v/>
      </c>
      <c r="E46" s="26">
        <f>B46+C46+D46</f>
        <v/>
      </c>
      <c r="F46" s="24">
        <f>-MAX(0,E46)*TaxEff</f>
        <v/>
      </c>
      <c r="G46" s="24">
        <f>-'Transmissão'!B46</f>
        <v/>
      </c>
      <c r="H46" s="24">
        <f>'Transmissão'!N46</f>
        <v/>
      </c>
      <c r="I46" s="24">
        <f>-MAX(0,E46+F46)*Minor</f>
        <v/>
      </c>
      <c r="J46" s="26">
        <f>SUM(E46:I46)</f>
        <v/>
      </c>
      <c r="K46" s="24">
        <f>O45</f>
        <v/>
      </c>
      <c r="L46" s="24">
        <f>-G46*PctDivida</f>
        <v/>
      </c>
      <c r="M46" s="24">
        <f>-K46/PrazoDiv</f>
        <v/>
      </c>
      <c r="N46" s="24">
        <f>-K46*KdReal</f>
        <v/>
      </c>
      <c r="O46" s="24">
        <f>K46+L46+M46</f>
        <v/>
      </c>
      <c r="P46" s="28">
        <f>IFERROR(O46/E46,"")</f>
        <v/>
      </c>
      <c r="Q46" s="26">
        <f>J46+L46+M46+N46</f>
        <v/>
      </c>
    </row>
    <row r="47">
      <c r="A47" s="23" t="n">
        <v>2068</v>
      </c>
      <c r="B47" s="24">
        <f>'Transmissão'!L47</f>
        <v/>
      </c>
      <c r="C47" s="24">
        <f>'Geração'!L47</f>
        <v/>
      </c>
      <c r="D47" s="24">
        <f>-Holding</f>
        <v/>
      </c>
      <c r="E47" s="26">
        <f>B47+C47+D47</f>
        <v/>
      </c>
      <c r="F47" s="24">
        <f>-MAX(0,E47)*TaxEff</f>
        <v/>
      </c>
      <c r="G47" s="24">
        <f>-'Transmissão'!B47</f>
        <v/>
      </c>
      <c r="H47" s="24">
        <f>'Transmissão'!N47</f>
        <v/>
      </c>
      <c r="I47" s="24">
        <f>-MAX(0,E47+F47)*Minor</f>
        <v/>
      </c>
      <c r="J47" s="26">
        <f>SUM(E47:I47)</f>
        <v/>
      </c>
      <c r="K47" s="24">
        <f>O46</f>
        <v/>
      </c>
      <c r="L47" s="24">
        <f>-G47*PctDivida</f>
        <v/>
      </c>
      <c r="M47" s="24">
        <f>-K47/PrazoDiv</f>
        <v/>
      </c>
      <c r="N47" s="24">
        <f>-K47*KdReal</f>
        <v/>
      </c>
      <c r="O47" s="24">
        <f>K47+L47+M47</f>
        <v/>
      </c>
      <c r="P47" s="28">
        <f>IFERROR(O47/E47,"")</f>
        <v/>
      </c>
      <c r="Q47" s="26">
        <f>J47+L47+M47+N47</f>
        <v/>
      </c>
    </row>
    <row r="48">
      <c r="A48" s="23" t="n">
        <v>2069</v>
      </c>
      <c r="B48" s="24">
        <f>'Transmissão'!L48</f>
        <v/>
      </c>
      <c r="C48" s="24">
        <f>'Geração'!L48</f>
        <v/>
      </c>
      <c r="D48" s="24">
        <f>-Holding</f>
        <v/>
      </c>
      <c r="E48" s="26">
        <f>B48+C48+D48</f>
        <v/>
      </c>
      <c r="F48" s="24">
        <f>-MAX(0,E48)*TaxEff</f>
        <v/>
      </c>
      <c r="G48" s="24">
        <f>-'Transmissão'!B48</f>
        <v/>
      </c>
      <c r="H48" s="24">
        <f>'Transmissão'!N48</f>
        <v/>
      </c>
      <c r="I48" s="24">
        <f>-MAX(0,E48+F48)*Minor</f>
        <v/>
      </c>
      <c r="J48" s="26">
        <f>SUM(E48:I48)</f>
        <v/>
      </c>
      <c r="K48" s="24">
        <f>O47</f>
        <v/>
      </c>
      <c r="L48" s="24">
        <f>-G48*PctDivida</f>
        <v/>
      </c>
      <c r="M48" s="24">
        <f>-K48/PrazoDiv</f>
        <v/>
      </c>
      <c r="N48" s="24">
        <f>-K48*KdReal</f>
        <v/>
      </c>
      <c r="O48" s="24">
        <f>K48+L48+M48</f>
        <v/>
      </c>
      <c r="P48" s="28">
        <f>IFERROR(O48/E48,"")</f>
        <v/>
      </c>
      <c r="Q48" s="26">
        <f>J48+L48+M48+N48</f>
        <v/>
      </c>
    </row>
    <row r="49">
      <c r="A49" s="23" t="n">
        <v>2070</v>
      </c>
      <c r="B49" s="24">
        <f>'Transmissão'!L49</f>
        <v/>
      </c>
      <c r="C49" s="24">
        <f>'Geração'!L49</f>
        <v/>
      </c>
      <c r="D49" s="24">
        <f>-Holding</f>
        <v/>
      </c>
      <c r="E49" s="26">
        <f>B49+C49+D49</f>
        <v/>
      </c>
      <c r="F49" s="24">
        <f>-MAX(0,E49)*TaxEff</f>
        <v/>
      </c>
      <c r="G49" s="24">
        <f>-'Transmissão'!B49</f>
        <v/>
      </c>
      <c r="H49" s="24">
        <f>'Transmissão'!N49</f>
        <v/>
      </c>
      <c r="I49" s="24">
        <f>-MAX(0,E49+F49)*Minor</f>
        <v/>
      </c>
      <c r="J49" s="26">
        <f>SUM(E49:I49)</f>
        <v/>
      </c>
      <c r="K49" s="24">
        <f>O48</f>
        <v/>
      </c>
      <c r="L49" s="24">
        <f>-G49*PctDivida</f>
        <v/>
      </c>
      <c r="M49" s="24">
        <f>-K49/PrazoDiv</f>
        <v/>
      </c>
      <c r="N49" s="24">
        <f>-K49*KdReal</f>
        <v/>
      </c>
      <c r="O49" s="24">
        <f>K49+L49+M49</f>
        <v/>
      </c>
      <c r="P49" s="28">
        <f>IFERROR(O49/E49,"")</f>
        <v/>
      </c>
      <c r="Q49" s="26">
        <f>J49+L49+M49+N49</f>
        <v/>
      </c>
    </row>
    <row r="50">
      <c r="A50" s="23" t="n">
        <v>2071</v>
      </c>
      <c r="B50" s="24">
        <f>'Transmissão'!L50</f>
        <v/>
      </c>
      <c r="C50" s="24">
        <f>'Geração'!L50</f>
        <v/>
      </c>
      <c r="D50" s="24">
        <f>-Holding</f>
        <v/>
      </c>
      <c r="E50" s="26">
        <f>B50+C50+D50</f>
        <v/>
      </c>
      <c r="F50" s="24">
        <f>-MAX(0,E50)*TaxEff</f>
        <v/>
      </c>
      <c r="G50" s="24">
        <f>-'Transmissão'!B50</f>
        <v/>
      </c>
      <c r="H50" s="24">
        <f>'Transmissão'!N50</f>
        <v/>
      </c>
      <c r="I50" s="24">
        <f>-MAX(0,E50+F50)*Minor</f>
        <v/>
      </c>
      <c r="J50" s="26">
        <f>SUM(E50:I50)</f>
        <v/>
      </c>
      <c r="K50" s="24">
        <f>O49</f>
        <v/>
      </c>
      <c r="L50" s="24">
        <f>-G50*PctDivida</f>
        <v/>
      </c>
      <c r="M50" s="24">
        <f>-K50/PrazoDiv</f>
        <v/>
      </c>
      <c r="N50" s="24">
        <f>-K50*KdReal</f>
        <v/>
      </c>
      <c r="O50" s="24">
        <f>K50+L50+M50</f>
        <v/>
      </c>
      <c r="P50" s="28">
        <f>IFERROR(O50/E50,"")</f>
        <v/>
      </c>
      <c r="Q50" s="26">
        <f>J50+L50+M50+N50</f>
        <v/>
      </c>
    </row>
    <row r="51">
      <c r="A51" s="23" t="n">
        <v>2072</v>
      </c>
      <c r="B51" s="24">
        <f>'Transmissão'!L51</f>
        <v/>
      </c>
      <c r="C51" s="24">
        <f>'Geração'!L51</f>
        <v/>
      </c>
      <c r="D51" s="24">
        <f>-Holding</f>
        <v/>
      </c>
      <c r="E51" s="26">
        <f>B51+C51+D51</f>
        <v/>
      </c>
      <c r="F51" s="24">
        <f>-MAX(0,E51)*TaxEff</f>
        <v/>
      </c>
      <c r="G51" s="24">
        <f>-'Transmissão'!B51</f>
        <v/>
      </c>
      <c r="H51" s="24">
        <f>'Transmissão'!N51</f>
        <v/>
      </c>
      <c r="I51" s="24">
        <f>-MAX(0,E51+F51)*Minor</f>
        <v/>
      </c>
      <c r="J51" s="26">
        <f>SUM(E51:I51)</f>
        <v/>
      </c>
      <c r="K51" s="24">
        <f>O50</f>
        <v/>
      </c>
      <c r="L51" s="24">
        <f>-G51*PctDivida</f>
        <v/>
      </c>
      <c r="M51" s="24">
        <f>-K51/PrazoDiv</f>
        <v/>
      </c>
      <c r="N51" s="24">
        <f>-K51*KdReal</f>
        <v/>
      </c>
      <c r="O51" s="24">
        <f>K51+L51+M51</f>
        <v/>
      </c>
      <c r="P51" s="28">
        <f>IFERROR(O51/E51,"")</f>
        <v/>
      </c>
      <c r="Q51" s="26">
        <f>J51+L51+M51+N51</f>
        <v/>
      </c>
    </row>
    <row r="52">
      <c r="A52" s="23" t="n">
        <v>2073</v>
      </c>
      <c r="B52" s="24">
        <f>'Transmissão'!L52</f>
        <v/>
      </c>
      <c r="C52" s="24">
        <f>'Geração'!L52</f>
        <v/>
      </c>
      <c r="D52" s="24">
        <f>-Holding</f>
        <v/>
      </c>
      <c r="E52" s="26">
        <f>B52+C52+D52</f>
        <v/>
      </c>
      <c r="F52" s="24">
        <f>-MAX(0,E52)*TaxEff</f>
        <v/>
      </c>
      <c r="G52" s="24">
        <f>-'Transmissão'!B52</f>
        <v/>
      </c>
      <c r="H52" s="24">
        <f>'Transmissão'!N52</f>
        <v/>
      </c>
      <c r="I52" s="24">
        <f>-MAX(0,E52+F52)*Minor</f>
        <v/>
      </c>
      <c r="J52" s="26">
        <f>SUM(E52:I52)</f>
        <v/>
      </c>
      <c r="K52" s="24">
        <f>O51</f>
        <v/>
      </c>
      <c r="L52" s="24">
        <f>-G52*PctDivida</f>
        <v/>
      </c>
      <c r="M52" s="24">
        <f>-K52/PrazoDiv</f>
        <v/>
      </c>
      <c r="N52" s="24">
        <f>-K52*KdReal</f>
        <v/>
      </c>
      <c r="O52" s="24">
        <f>K52+L52+M52</f>
        <v/>
      </c>
      <c r="P52" s="28">
        <f>IFERROR(O52/E52,"")</f>
        <v/>
      </c>
      <c r="Q52" s="26">
        <f>J52+L52+M52+N52</f>
        <v/>
      </c>
    </row>
    <row r="53">
      <c r="A53" s="23" t="n">
        <v>2074</v>
      </c>
      <c r="B53" s="24">
        <f>'Transmissão'!L53</f>
        <v/>
      </c>
      <c r="C53" s="24">
        <f>'Geração'!L53</f>
        <v/>
      </c>
      <c r="D53" s="24">
        <f>-Holding</f>
        <v/>
      </c>
      <c r="E53" s="26">
        <f>B53+C53+D53</f>
        <v/>
      </c>
      <c r="F53" s="24">
        <f>-MAX(0,E53)*TaxEff</f>
        <v/>
      </c>
      <c r="G53" s="24">
        <f>-'Transmissão'!B53</f>
        <v/>
      </c>
      <c r="H53" s="24">
        <f>'Transmissão'!N53</f>
        <v/>
      </c>
      <c r="I53" s="24">
        <f>-MAX(0,E53+F53)*Minor</f>
        <v/>
      </c>
      <c r="J53" s="26">
        <f>SUM(E53:I53)</f>
        <v/>
      </c>
      <c r="K53" s="24">
        <f>O52</f>
        <v/>
      </c>
      <c r="L53" s="24">
        <f>-G53*PctDivida</f>
        <v/>
      </c>
      <c r="M53" s="24">
        <f>-K53/PrazoDiv</f>
        <v/>
      </c>
      <c r="N53" s="24">
        <f>-K53*KdReal</f>
        <v/>
      </c>
      <c r="O53" s="24">
        <f>K53+L53+M53</f>
        <v/>
      </c>
      <c r="P53" s="28">
        <f>IFERROR(O53/E53,"")</f>
        <v/>
      </c>
      <c r="Q53" s="26">
        <f>J53+L53+M53+N53</f>
        <v/>
      </c>
    </row>
    <row r="54">
      <c r="A54" s="23" t="n">
        <v>2075</v>
      </c>
      <c r="B54" s="24">
        <f>'Transmissão'!L54</f>
        <v/>
      </c>
      <c r="C54" s="24">
        <f>'Geração'!L54</f>
        <v/>
      </c>
      <c r="D54" s="24">
        <f>-Holding</f>
        <v/>
      </c>
      <c r="E54" s="26">
        <f>B54+C54+D54</f>
        <v/>
      </c>
      <c r="F54" s="24">
        <f>-MAX(0,E54)*TaxEff</f>
        <v/>
      </c>
      <c r="G54" s="24">
        <f>-'Transmissão'!B54</f>
        <v/>
      </c>
      <c r="H54" s="24">
        <f>'Transmissão'!N54</f>
        <v/>
      </c>
      <c r="I54" s="24">
        <f>-MAX(0,E54+F54)*Minor</f>
        <v/>
      </c>
      <c r="J54" s="26">
        <f>SUM(E54:I54)</f>
        <v/>
      </c>
      <c r="K54" s="24">
        <f>O53</f>
        <v/>
      </c>
      <c r="L54" s="24">
        <f>-G54*PctDivida</f>
        <v/>
      </c>
      <c r="M54" s="24">
        <f>-K54/PrazoDiv</f>
        <v/>
      </c>
      <c r="N54" s="24">
        <f>-K54*KdReal</f>
        <v/>
      </c>
      <c r="O54" s="24">
        <f>K54+L54+M54</f>
        <v/>
      </c>
      <c r="P54" s="28">
        <f>IFERROR(O54/E54,"")</f>
        <v/>
      </c>
      <c r="Q54" s="26">
        <f>J54+L54+M54+N54</f>
        <v/>
      </c>
    </row>
    <row r="55">
      <c r="A55" s="23" t="n">
        <v>2076</v>
      </c>
      <c r="B55" s="24">
        <f>'Transmissão'!L55</f>
        <v/>
      </c>
      <c r="C55" s="24">
        <f>'Geração'!L55</f>
        <v/>
      </c>
      <c r="D55" s="24">
        <f>-Holding</f>
        <v/>
      </c>
      <c r="E55" s="26">
        <f>B55+C55+D55</f>
        <v/>
      </c>
      <c r="F55" s="24">
        <f>-MAX(0,E55)*TaxEff</f>
        <v/>
      </c>
      <c r="G55" s="24">
        <f>-'Transmissão'!B55</f>
        <v/>
      </c>
      <c r="H55" s="24">
        <f>'Transmissão'!N55</f>
        <v/>
      </c>
      <c r="I55" s="24">
        <f>-MAX(0,E55+F55)*Minor</f>
        <v/>
      </c>
      <c r="J55" s="26">
        <f>SUM(E55:I55)</f>
        <v/>
      </c>
      <c r="K55" s="24">
        <f>O54</f>
        <v/>
      </c>
      <c r="L55" s="24">
        <f>-G55*PctDivida</f>
        <v/>
      </c>
      <c r="M55" s="24">
        <f>-K55/PrazoDiv</f>
        <v/>
      </c>
      <c r="N55" s="24">
        <f>-K55*KdReal</f>
        <v/>
      </c>
      <c r="O55" s="24">
        <f>K55+L55+M55</f>
        <v/>
      </c>
      <c r="P55" s="28">
        <f>IFERROR(O55/E55,"")</f>
        <v/>
      </c>
      <c r="Q55" s="26">
        <f>J55+L55+M55+N55</f>
        <v/>
      </c>
    </row>
    <row r="56">
      <c r="A56" s="23" t="n">
        <v>2077</v>
      </c>
      <c r="B56" s="24">
        <f>'Transmissão'!L56</f>
        <v/>
      </c>
      <c r="C56" s="24">
        <f>'Geração'!L56</f>
        <v/>
      </c>
      <c r="D56" s="24">
        <f>-Holding</f>
        <v/>
      </c>
      <c r="E56" s="26">
        <f>B56+C56+D56</f>
        <v/>
      </c>
      <c r="F56" s="24">
        <f>-MAX(0,E56)*TaxEff</f>
        <v/>
      </c>
      <c r="G56" s="24">
        <f>-'Transmissão'!B56</f>
        <v/>
      </c>
      <c r="H56" s="24">
        <f>'Transmissão'!N56</f>
        <v/>
      </c>
      <c r="I56" s="24">
        <f>-MAX(0,E56+F56)*Minor</f>
        <v/>
      </c>
      <c r="J56" s="26">
        <f>SUM(E56:I56)</f>
        <v/>
      </c>
      <c r="K56" s="24">
        <f>O55</f>
        <v/>
      </c>
      <c r="L56" s="24">
        <f>-G56*PctDivida</f>
        <v/>
      </c>
      <c r="M56" s="24">
        <f>-K56/PrazoDiv</f>
        <v/>
      </c>
      <c r="N56" s="24">
        <f>-K56*KdReal</f>
        <v/>
      </c>
      <c r="O56" s="24">
        <f>K56+L56+M56</f>
        <v/>
      </c>
      <c r="P56" s="28">
        <f>IFERROR(O56/E56,"")</f>
        <v/>
      </c>
      <c r="Q56" s="26">
        <f>J56+L56+M56+N56</f>
        <v/>
      </c>
    </row>
    <row r="57">
      <c r="A57" s="23" t="n">
        <v>2078</v>
      </c>
      <c r="B57" s="24">
        <f>'Transmissão'!L57</f>
        <v/>
      </c>
      <c r="C57" s="24">
        <f>'Geração'!L57</f>
        <v/>
      </c>
      <c r="D57" s="24">
        <f>-Holding</f>
        <v/>
      </c>
      <c r="E57" s="26">
        <f>B57+C57+D57</f>
        <v/>
      </c>
      <c r="F57" s="24">
        <f>-MAX(0,E57)*TaxEff</f>
        <v/>
      </c>
      <c r="G57" s="24">
        <f>-'Transmissão'!B57</f>
        <v/>
      </c>
      <c r="H57" s="24">
        <f>'Transmissão'!N57</f>
        <v/>
      </c>
      <c r="I57" s="24">
        <f>-MAX(0,E57+F57)*Minor</f>
        <v/>
      </c>
      <c r="J57" s="26">
        <f>SUM(E57:I57)</f>
        <v/>
      </c>
      <c r="K57" s="24">
        <f>O56</f>
        <v/>
      </c>
      <c r="L57" s="24">
        <f>-G57*PctDivida</f>
        <v/>
      </c>
      <c r="M57" s="24">
        <f>-K57/PrazoDiv</f>
        <v/>
      </c>
      <c r="N57" s="24">
        <f>-K57*KdReal</f>
        <v/>
      </c>
      <c r="O57" s="24">
        <f>K57+L57+M57</f>
        <v/>
      </c>
      <c r="P57" s="28">
        <f>IFERROR(O57/E57,"")</f>
        <v/>
      </c>
      <c r="Q57" s="26">
        <f>J57+L57+M57+N57</f>
        <v/>
      </c>
    </row>
    <row r="58">
      <c r="A58" s="23" t="n">
        <v>2079</v>
      </c>
      <c r="B58" s="24">
        <f>'Transmissão'!L58</f>
        <v/>
      </c>
      <c r="C58" s="24">
        <f>'Geração'!L58</f>
        <v/>
      </c>
      <c r="D58" s="24">
        <f>-Holding</f>
        <v/>
      </c>
      <c r="E58" s="26">
        <f>B58+C58+D58</f>
        <v/>
      </c>
      <c r="F58" s="24">
        <f>-MAX(0,E58)*TaxEff</f>
        <v/>
      </c>
      <c r="G58" s="24">
        <f>-'Transmissão'!B58</f>
        <v/>
      </c>
      <c r="H58" s="24">
        <f>'Transmissão'!N58</f>
        <v/>
      </c>
      <c r="I58" s="24">
        <f>-MAX(0,E58+F58)*Minor</f>
        <v/>
      </c>
      <c r="J58" s="26">
        <f>SUM(E58:I58)</f>
        <v/>
      </c>
      <c r="K58" s="24">
        <f>O57</f>
        <v/>
      </c>
      <c r="L58" s="24">
        <f>-G58*PctDivida</f>
        <v/>
      </c>
      <c r="M58" s="24">
        <f>-K58/PrazoDiv</f>
        <v/>
      </c>
      <c r="N58" s="24">
        <f>-K58*KdReal</f>
        <v/>
      </c>
      <c r="O58" s="24">
        <f>K58+L58+M58</f>
        <v/>
      </c>
      <c r="P58" s="28">
        <f>IFERROR(O58/E58,"")</f>
        <v/>
      </c>
      <c r="Q58" s="26">
        <f>J58+L58+M58+N58</f>
        <v/>
      </c>
    </row>
    <row r="59">
      <c r="A59" s="23" t="n">
        <v>2080</v>
      </c>
      <c r="B59" s="24">
        <f>'Transmissão'!L59</f>
        <v/>
      </c>
      <c r="C59" s="24">
        <f>'Geração'!L59</f>
        <v/>
      </c>
      <c r="D59" s="24">
        <f>-Holding</f>
        <v/>
      </c>
      <c r="E59" s="26">
        <f>B59+C59+D59</f>
        <v/>
      </c>
      <c r="F59" s="24">
        <f>-MAX(0,E59)*TaxEff</f>
        <v/>
      </c>
      <c r="G59" s="24">
        <f>-'Transmissão'!B59</f>
        <v/>
      </c>
      <c r="H59" s="24">
        <f>'Transmissão'!N59</f>
        <v/>
      </c>
      <c r="I59" s="24">
        <f>-MAX(0,E59+F59)*Minor</f>
        <v/>
      </c>
      <c r="J59" s="26">
        <f>SUM(E59:I59)</f>
        <v/>
      </c>
      <c r="K59" s="24">
        <f>O58</f>
        <v/>
      </c>
      <c r="L59" s="24">
        <f>-G59*PctDivida</f>
        <v/>
      </c>
      <c r="M59" s="24">
        <f>-K59/PrazoDiv</f>
        <v/>
      </c>
      <c r="N59" s="24">
        <f>-K59*KdReal</f>
        <v/>
      </c>
      <c r="O59" s="24">
        <f>K59+L59+M59</f>
        <v/>
      </c>
      <c r="P59" s="28">
        <f>IFERROR(O59/E59,"")</f>
        <v/>
      </c>
      <c r="Q59" s="26">
        <f>J59+L59+M59+N59</f>
        <v/>
      </c>
    </row>
    <row r="62">
      <c r="A62" s="2" t="inlineStr">
        <is>
          <t>AFERIÇÃO CONTRA O DIVULGADO — se estas linhas destoarem, recalibre os Inputs antes de ler o valuation</t>
        </is>
      </c>
      <c r="B62" s="6" t="n"/>
      <c r="C62" s="6" t="n"/>
      <c r="D62" s="6" t="n"/>
      <c r="E62" s="6" t="n"/>
    </row>
    <row r="63">
      <c r="A63" s="7" t="inlineStr">
        <is>
          <t>EBITDA consolidado 2026 do modelo</t>
        </is>
      </c>
      <c r="B63" s="29">
        <f>E5</f>
        <v/>
      </c>
      <c r="D63" s="4" t="inlineStr"/>
    </row>
    <row r="64">
      <c r="A64" s="7" t="inlineStr">
        <is>
          <t>EBITDA regulatório 1T26 anualizado</t>
        </is>
      </c>
      <c r="B64" s="29">
        <f>EbitdaCons1T*4</f>
        <v/>
      </c>
      <c r="D64" s="4" t="inlineStr">
        <is>
          <t>Release 1T26 × 4.</t>
        </is>
      </c>
    </row>
    <row r="65">
      <c r="A65" s="7" t="inlineStr">
        <is>
          <t>Desvio</t>
        </is>
      </c>
      <c r="B65" s="19">
        <f>IFERROR(B63/B64-1,"")</f>
        <v/>
      </c>
      <c r="D65" s="4" t="inlineStr">
        <is>
          <t>Tolerável até ~±10%: o run-rate do 1T26 já embute entradas em operação que o modelo distribui ao longo do ano.</t>
        </is>
      </c>
    </row>
    <row r="66">
      <c r="A66" s="7" t="inlineStr">
        <is>
          <t>Receita de geração + comercialização 2026</t>
        </is>
      </c>
      <c r="B66" s="29">
        <f>'Geração'!K5</f>
        <v/>
      </c>
      <c r="D66" s="4" t="inlineStr"/>
    </row>
    <row r="67">
      <c r="A67" s="7" t="inlineStr">
        <is>
          <t>Receita de geração implícita no 1T26</t>
        </is>
      </c>
      <c r="B67" s="29">
        <f>(RecCons1T-RecTr1T)*4</f>
        <v/>
      </c>
      <c r="D67" s="4" t="inlineStr">
        <is>
          <t>Receita consolidada menos transmissão, anualizada. Foi contra esta linha que MW médio e preço foram calibrados.</t>
        </is>
      </c>
    </row>
    <row r="68">
      <c r="A68" s="7" t="inlineStr">
        <is>
          <t>Desvio</t>
        </is>
      </c>
      <c r="B68" s="19">
        <f>IFERROR(B66/B67-1,"")</f>
        <v/>
      </c>
      <c r="D68" s="4" t="inlineStr"/>
    </row>
    <row r="69">
      <c r="A69" s="7" t="inlineStr">
        <is>
          <t>Alavancagem máxima até 2035</t>
        </is>
      </c>
      <c r="B69" s="30">
        <f>MAX(P5:P14)</f>
        <v/>
      </c>
      <c r="D69" s="4" t="inlineStr">
        <is>
          <t>A janela para em 2035 de propósito: depois que as concessões começam a expirar o EBITDA cai e o índice dispara sem que isso signifique estresse de crédito — é aritmética de run-off, não alavancagem.</t>
        </is>
      </c>
    </row>
    <row r="70">
      <c r="A70" s="7" t="inlineStr">
        <is>
          <t>Ano do pico de alavancagem</t>
        </is>
      </c>
      <c r="B70" s="31">
        <f>INDEX(A5:A14,MATCH(B69,P5:P14,0))</f>
        <v/>
      </c>
      <c r="D70" s="4" t="inlineStr"/>
    </row>
    <row r="71">
      <c r="A71" s="7" t="inlineStr">
        <is>
          <t>Guidance da companhia</t>
        </is>
      </c>
      <c r="B71" s="32" t="n">
        <v>3.95</v>
      </c>
      <c r="D71" s="4" t="inlineStr">
        <is>
          <t>Pico de 3,9–4,0x em 2028, segundo a diretoria de RI. É a melhor aferição disponível do cronograma de capex.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3" customWidth="1" min="3" max="3"/>
    <col width="14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Valuation — DCF do fluxo ao acionista e TIR real implícita</t>
        </is>
      </c>
    </row>
    <row r="2">
      <c r="A2" s="4" t="inlineStr">
        <is>
          <t>Fluxo real descontado ao Ke real, convenção de meio de ano. A TIR real implícita compara-se diretamente com a NTN-B, porque ambas são taxas reais.</t>
        </is>
      </c>
    </row>
    <row r="4" ht="34" customHeight="1">
      <c r="A4" s="5" t="inlineStr">
        <is>
          <t>Ano</t>
        </is>
      </c>
      <c r="B4" s="5" t="inlineStr">
        <is>
          <t>t (meio de ano)</t>
        </is>
      </c>
      <c r="C4" s="5" t="inlineStr">
        <is>
          <t>FCFE real</t>
        </is>
      </c>
      <c r="D4" s="5" t="inlineStr">
        <is>
          <t>Fator de desconto</t>
        </is>
      </c>
      <c r="E4" s="5" t="inlineStr">
        <is>
          <t>Valor presente</t>
        </is>
      </c>
      <c r="F4" s="5" t="inlineStr">
        <is>
          <t>VP acumulado</t>
        </is>
      </c>
      <c r="G4" s="5" t="inlineStr">
        <is>
          <t>Fluxo p/ TIR</t>
        </is>
      </c>
    </row>
    <row r="5">
      <c r="A5" s="21" t="inlineStr">
        <is>
          <t>Hoje</t>
        </is>
      </c>
      <c r="G5" s="26">
        <f>-MktCap</f>
        <v/>
      </c>
    </row>
    <row r="6">
      <c r="A6" s="23" t="n">
        <v>2026</v>
      </c>
      <c r="B6" s="33">
        <f>A6-AnoBase+0.5</f>
        <v/>
      </c>
      <c r="C6" s="24">
        <f>'Consolidado'!Q5</f>
        <v/>
      </c>
      <c r="D6" s="34">
        <f>1/(1+Ke)^B6</f>
        <v/>
      </c>
      <c r="E6" s="24">
        <f>C6*D6</f>
        <v/>
      </c>
      <c r="F6" s="24">
        <f>E6</f>
        <v/>
      </c>
      <c r="G6" s="24">
        <f>C6</f>
        <v/>
      </c>
    </row>
    <row r="7">
      <c r="A7" s="23" t="n">
        <v>2027</v>
      </c>
      <c r="B7" s="33">
        <f>A7-AnoBase+0.5</f>
        <v/>
      </c>
      <c r="C7" s="24">
        <f>'Consolidado'!Q6</f>
        <v/>
      </c>
      <c r="D7" s="34">
        <f>1/(1+Ke)^B7</f>
        <v/>
      </c>
      <c r="E7" s="24">
        <f>C7*D7</f>
        <v/>
      </c>
      <c r="F7" s="24">
        <f>F6+E7</f>
        <v/>
      </c>
      <c r="G7" s="24">
        <f>C7</f>
        <v/>
      </c>
    </row>
    <row r="8">
      <c r="A8" s="23" t="n">
        <v>2028</v>
      </c>
      <c r="B8" s="33">
        <f>A8-AnoBase+0.5</f>
        <v/>
      </c>
      <c r="C8" s="24">
        <f>'Consolidado'!Q7</f>
        <v/>
      </c>
      <c r="D8" s="34">
        <f>1/(1+Ke)^B8</f>
        <v/>
      </c>
      <c r="E8" s="24">
        <f>C8*D8</f>
        <v/>
      </c>
      <c r="F8" s="24">
        <f>F7+E8</f>
        <v/>
      </c>
      <c r="G8" s="24">
        <f>C8</f>
        <v/>
      </c>
    </row>
    <row r="9">
      <c r="A9" s="23" t="n">
        <v>2029</v>
      </c>
      <c r="B9" s="33">
        <f>A9-AnoBase+0.5</f>
        <v/>
      </c>
      <c r="C9" s="24">
        <f>'Consolidado'!Q8</f>
        <v/>
      </c>
      <c r="D9" s="34">
        <f>1/(1+Ke)^B9</f>
        <v/>
      </c>
      <c r="E9" s="24">
        <f>C9*D9</f>
        <v/>
      </c>
      <c r="F9" s="24">
        <f>F8+E9</f>
        <v/>
      </c>
      <c r="G9" s="24">
        <f>C9</f>
        <v/>
      </c>
    </row>
    <row r="10">
      <c r="A10" s="23" t="n">
        <v>2030</v>
      </c>
      <c r="B10" s="33">
        <f>A10-AnoBase+0.5</f>
        <v/>
      </c>
      <c r="C10" s="24">
        <f>'Consolidado'!Q9</f>
        <v/>
      </c>
      <c r="D10" s="34">
        <f>1/(1+Ke)^B10</f>
        <v/>
      </c>
      <c r="E10" s="24">
        <f>C10*D10</f>
        <v/>
      </c>
      <c r="F10" s="24">
        <f>F9+E10</f>
        <v/>
      </c>
      <c r="G10" s="24">
        <f>C10</f>
        <v/>
      </c>
    </row>
    <row r="11">
      <c r="A11" s="23" t="n">
        <v>2031</v>
      </c>
      <c r="B11" s="33">
        <f>A11-AnoBase+0.5</f>
        <v/>
      </c>
      <c r="C11" s="24">
        <f>'Consolidado'!Q10</f>
        <v/>
      </c>
      <c r="D11" s="34">
        <f>1/(1+Ke)^B11</f>
        <v/>
      </c>
      <c r="E11" s="24">
        <f>C11*D11</f>
        <v/>
      </c>
      <c r="F11" s="24">
        <f>F10+E11</f>
        <v/>
      </c>
      <c r="G11" s="24">
        <f>C11</f>
        <v/>
      </c>
    </row>
    <row r="12">
      <c r="A12" s="23" t="n">
        <v>2032</v>
      </c>
      <c r="B12" s="33">
        <f>A12-AnoBase+0.5</f>
        <v/>
      </c>
      <c r="C12" s="24">
        <f>'Consolidado'!Q11</f>
        <v/>
      </c>
      <c r="D12" s="34">
        <f>1/(1+Ke)^B12</f>
        <v/>
      </c>
      <c r="E12" s="24">
        <f>C12*D12</f>
        <v/>
      </c>
      <c r="F12" s="24">
        <f>F11+E12</f>
        <v/>
      </c>
      <c r="G12" s="24">
        <f>C12</f>
        <v/>
      </c>
    </row>
    <row r="13">
      <c r="A13" s="23" t="n">
        <v>2033</v>
      </c>
      <c r="B13" s="33">
        <f>A13-AnoBase+0.5</f>
        <v/>
      </c>
      <c r="C13" s="24">
        <f>'Consolidado'!Q12</f>
        <v/>
      </c>
      <c r="D13" s="34">
        <f>1/(1+Ke)^B13</f>
        <v/>
      </c>
      <c r="E13" s="24">
        <f>C13*D13</f>
        <v/>
      </c>
      <c r="F13" s="24">
        <f>F12+E13</f>
        <v/>
      </c>
      <c r="G13" s="24">
        <f>C13</f>
        <v/>
      </c>
    </row>
    <row r="14">
      <c r="A14" s="23" t="n">
        <v>2034</v>
      </c>
      <c r="B14" s="33">
        <f>A14-AnoBase+0.5</f>
        <v/>
      </c>
      <c r="C14" s="24">
        <f>'Consolidado'!Q13</f>
        <v/>
      </c>
      <c r="D14" s="34">
        <f>1/(1+Ke)^B14</f>
        <v/>
      </c>
      <c r="E14" s="24">
        <f>C14*D14</f>
        <v/>
      </c>
      <c r="F14" s="24">
        <f>F13+E14</f>
        <v/>
      </c>
      <c r="G14" s="24">
        <f>C14</f>
        <v/>
      </c>
    </row>
    <row r="15">
      <c r="A15" s="23" t="n">
        <v>2035</v>
      </c>
      <c r="B15" s="33">
        <f>A15-AnoBase+0.5</f>
        <v/>
      </c>
      <c r="C15" s="24">
        <f>'Consolidado'!Q14</f>
        <v/>
      </c>
      <c r="D15" s="34">
        <f>1/(1+Ke)^B15</f>
        <v/>
      </c>
      <c r="E15" s="24">
        <f>C15*D15</f>
        <v/>
      </c>
      <c r="F15" s="24">
        <f>F14+E15</f>
        <v/>
      </c>
      <c r="G15" s="24">
        <f>C15</f>
        <v/>
      </c>
    </row>
    <row r="16">
      <c r="A16" s="23" t="n">
        <v>2036</v>
      </c>
      <c r="B16" s="33">
        <f>A16-AnoBase+0.5</f>
        <v/>
      </c>
      <c r="C16" s="24">
        <f>'Consolidado'!Q15</f>
        <v/>
      </c>
      <c r="D16" s="34">
        <f>1/(1+Ke)^B16</f>
        <v/>
      </c>
      <c r="E16" s="24">
        <f>C16*D16</f>
        <v/>
      </c>
      <c r="F16" s="24">
        <f>F15+E16</f>
        <v/>
      </c>
      <c r="G16" s="24">
        <f>C16</f>
        <v/>
      </c>
    </row>
    <row r="17">
      <c r="A17" s="23" t="n">
        <v>2037</v>
      </c>
      <c r="B17" s="33">
        <f>A17-AnoBase+0.5</f>
        <v/>
      </c>
      <c r="C17" s="24">
        <f>'Consolidado'!Q16</f>
        <v/>
      </c>
      <c r="D17" s="34">
        <f>1/(1+Ke)^B17</f>
        <v/>
      </c>
      <c r="E17" s="24">
        <f>C17*D17</f>
        <v/>
      </c>
      <c r="F17" s="24">
        <f>F16+E17</f>
        <v/>
      </c>
      <c r="G17" s="24">
        <f>C17</f>
        <v/>
      </c>
    </row>
    <row r="18">
      <c r="A18" s="23" t="n">
        <v>2038</v>
      </c>
      <c r="B18" s="33">
        <f>A18-AnoBase+0.5</f>
        <v/>
      </c>
      <c r="C18" s="24">
        <f>'Consolidado'!Q17</f>
        <v/>
      </c>
      <c r="D18" s="34">
        <f>1/(1+Ke)^B18</f>
        <v/>
      </c>
      <c r="E18" s="24">
        <f>C18*D18</f>
        <v/>
      </c>
      <c r="F18" s="24">
        <f>F17+E18</f>
        <v/>
      </c>
      <c r="G18" s="24">
        <f>C18</f>
        <v/>
      </c>
    </row>
    <row r="19">
      <c r="A19" s="23" t="n">
        <v>2039</v>
      </c>
      <c r="B19" s="33">
        <f>A19-AnoBase+0.5</f>
        <v/>
      </c>
      <c r="C19" s="24">
        <f>'Consolidado'!Q18</f>
        <v/>
      </c>
      <c r="D19" s="34">
        <f>1/(1+Ke)^B19</f>
        <v/>
      </c>
      <c r="E19" s="24">
        <f>C19*D19</f>
        <v/>
      </c>
      <c r="F19" s="24">
        <f>F18+E19</f>
        <v/>
      </c>
      <c r="G19" s="24">
        <f>C19</f>
        <v/>
      </c>
    </row>
    <row r="20">
      <c r="A20" s="23" t="n">
        <v>2040</v>
      </c>
      <c r="B20" s="33">
        <f>A20-AnoBase+0.5</f>
        <v/>
      </c>
      <c r="C20" s="24">
        <f>'Consolidado'!Q19</f>
        <v/>
      </c>
      <c r="D20" s="34">
        <f>1/(1+Ke)^B20</f>
        <v/>
      </c>
      <c r="E20" s="24">
        <f>C20*D20</f>
        <v/>
      </c>
      <c r="F20" s="24">
        <f>F19+E20</f>
        <v/>
      </c>
      <c r="G20" s="24">
        <f>C20</f>
        <v/>
      </c>
    </row>
    <row r="21">
      <c r="A21" s="23" t="n">
        <v>2041</v>
      </c>
      <c r="B21" s="33">
        <f>A21-AnoBase+0.5</f>
        <v/>
      </c>
      <c r="C21" s="24">
        <f>'Consolidado'!Q20</f>
        <v/>
      </c>
      <c r="D21" s="34">
        <f>1/(1+Ke)^B21</f>
        <v/>
      </c>
      <c r="E21" s="24">
        <f>C21*D21</f>
        <v/>
      </c>
      <c r="F21" s="24">
        <f>F20+E21</f>
        <v/>
      </c>
      <c r="G21" s="24">
        <f>C21</f>
        <v/>
      </c>
    </row>
    <row r="22">
      <c r="A22" s="23" t="n">
        <v>2042</v>
      </c>
      <c r="B22" s="33">
        <f>A22-AnoBase+0.5</f>
        <v/>
      </c>
      <c r="C22" s="24">
        <f>'Consolidado'!Q21</f>
        <v/>
      </c>
      <c r="D22" s="34">
        <f>1/(1+Ke)^B22</f>
        <v/>
      </c>
      <c r="E22" s="24">
        <f>C22*D22</f>
        <v/>
      </c>
      <c r="F22" s="24">
        <f>F21+E22</f>
        <v/>
      </c>
      <c r="G22" s="24">
        <f>C22</f>
        <v/>
      </c>
    </row>
    <row r="23">
      <c r="A23" s="23" t="n">
        <v>2043</v>
      </c>
      <c r="B23" s="33">
        <f>A23-AnoBase+0.5</f>
        <v/>
      </c>
      <c r="C23" s="24">
        <f>'Consolidado'!Q22</f>
        <v/>
      </c>
      <c r="D23" s="34">
        <f>1/(1+Ke)^B23</f>
        <v/>
      </c>
      <c r="E23" s="24">
        <f>C23*D23</f>
        <v/>
      </c>
      <c r="F23" s="24">
        <f>F22+E23</f>
        <v/>
      </c>
      <c r="G23" s="24">
        <f>C23</f>
        <v/>
      </c>
    </row>
    <row r="24">
      <c r="A24" s="23" t="n">
        <v>2044</v>
      </c>
      <c r="B24" s="33">
        <f>A24-AnoBase+0.5</f>
        <v/>
      </c>
      <c r="C24" s="24">
        <f>'Consolidado'!Q23</f>
        <v/>
      </c>
      <c r="D24" s="34">
        <f>1/(1+Ke)^B24</f>
        <v/>
      </c>
      <c r="E24" s="24">
        <f>C24*D24</f>
        <v/>
      </c>
      <c r="F24" s="24">
        <f>F23+E24</f>
        <v/>
      </c>
      <c r="G24" s="24">
        <f>C24</f>
        <v/>
      </c>
    </row>
    <row r="25">
      <c r="A25" s="23" t="n">
        <v>2045</v>
      </c>
      <c r="B25" s="33">
        <f>A25-AnoBase+0.5</f>
        <v/>
      </c>
      <c r="C25" s="24">
        <f>'Consolidado'!Q24</f>
        <v/>
      </c>
      <c r="D25" s="34">
        <f>1/(1+Ke)^B25</f>
        <v/>
      </c>
      <c r="E25" s="24">
        <f>C25*D25</f>
        <v/>
      </c>
      <c r="F25" s="24">
        <f>F24+E25</f>
        <v/>
      </c>
      <c r="G25" s="24">
        <f>C25</f>
        <v/>
      </c>
    </row>
    <row r="26">
      <c r="A26" s="23" t="n">
        <v>2046</v>
      </c>
      <c r="B26" s="33">
        <f>A26-AnoBase+0.5</f>
        <v/>
      </c>
      <c r="C26" s="24">
        <f>'Consolidado'!Q25</f>
        <v/>
      </c>
      <c r="D26" s="34">
        <f>1/(1+Ke)^B26</f>
        <v/>
      </c>
      <c r="E26" s="24">
        <f>C26*D26</f>
        <v/>
      </c>
      <c r="F26" s="24">
        <f>F25+E26</f>
        <v/>
      </c>
      <c r="G26" s="24">
        <f>C26</f>
        <v/>
      </c>
    </row>
    <row r="27">
      <c r="A27" s="23" t="n">
        <v>2047</v>
      </c>
      <c r="B27" s="33">
        <f>A27-AnoBase+0.5</f>
        <v/>
      </c>
      <c r="C27" s="24">
        <f>'Consolidado'!Q26</f>
        <v/>
      </c>
      <c r="D27" s="34">
        <f>1/(1+Ke)^B27</f>
        <v/>
      </c>
      <c r="E27" s="24">
        <f>C27*D27</f>
        <v/>
      </c>
      <c r="F27" s="24">
        <f>F26+E27</f>
        <v/>
      </c>
      <c r="G27" s="24">
        <f>C27</f>
        <v/>
      </c>
    </row>
    <row r="28">
      <c r="A28" s="23" t="n">
        <v>2048</v>
      </c>
      <c r="B28" s="33">
        <f>A28-AnoBase+0.5</f>
        <v/>
      </c>
      <c r="C28" s="24">
        <f>'Consolidado'!Q27</f>
        <v/>
      </c>
      <c r="D28" s="34">
        <f>1/(1+Ke)^B28</f>
        <v/>
      </c>
      <c r="E28" s="24">
        <f>C28*D28</f>
        <v/>
      </c>
      <c r="F28" s="24">
        <f>F27+E28</f>
        <v/>
      </c>
      <c r="G28" s="24">
        <f>C28</f>
        <v/>
      </c>
    </row>
    <row r="29">
      <c r="A29" s="23" t="n">
        <v>2049</v>
      </c>
      <c r="B29" s="33">
        <f>A29-AnoBase+0.5</f>
        <v/>
      </c>
      <c r="C29" s="24">
        <f>'Consolidado'!Q28</f>
        <v/>
      </c>
      <c r="D29" s="34">
        <f>1/(1+Ke)^B29</f>
        <v/>
      </c>
      <c r="E29" s="24">
        <f>C29*D29</f>
        <v/>
      </c>
      <c r="F29" s="24">
        <f>F28+E29</f>
        <v/>
      </c>
      <c r="G29" s="24">
        <f>C29</f>
        <v/>
      </c>
    </row>
    <row r="30">
      <c r="A30" s="23" t="n">
        <v>2050</v>
      </c>
      <c r="B30" s="33">
        <f>A30-AnoBase+0.5</f>
        <v/>
      </c>
      <c r="C30" s="24">
        <f>'Consolidado'!Q29</f>
        <v/>
      </c>
      <c r="D30" s="34">
        <f>1/(1+Ke)^B30</f>
        <v/>
      </c>
      <c r="E30" s="24">
        <f>C30*D30</f>
        <v/>
      </c>
      <c r="F30" s="24">
        <f>F29+E30</f>
        <v/>
      </c>
      <c r="G30" s="24">
        <f>C30</f>
        <v/>
      </c>
    </row>
    <row r="31">
      <c r="A31" s="23" t="n">
        <v>2051</v>
      </c>
      <c r="B31" s="33">
        <f>A31-AnoBase+0.5</f>
        <v/>
      </c>
      <c r="C31" s="24">
        <f>'Consolidado'!Q30</f>
        <v/>
      </c>
      <c r="D31" s="34">
        <f>1/(1+Ke)^B31</f>
        <v/>
      </c>
      <c r="E31" s="24">
        <f>C31*D31</f>
        <v/>
      </c>
      <c r="F31" s="24">
        <f>F30+E31</f>
        <v/>
      </c>
      <c r="G31" s="24">
        <f>C31</f>
        <v/>
      </c>
    </row>
    <row r="32">
      <c r="A32" s="23" t="n">
        <v>2052</v>
      </c>
      <c r="B32" s="33">
        <f>A32-AnoBase+0.5</f>
        <v/>
      </c>
      <c r="C32" s="24">
        <f>'Consolidado'!Q31</f>
        <v/>
      </c>
      <c r="D32" s="34">
        <f>1/(1+Ke)^B32</f>
        <v/>
      </c>
      <c r="E32" s="24">
        <f>C32*D32</f>
        <v/>
      </c>
      <c r="F32" s="24">
        <f>F31+E32</f>
        <v/>
      </c>
      <c r="G32" s="24">
        <f>C32</f>
        <v/>
      </c>
    </row>
    <row r="33">
      <c r="A33" s="23" t="n">
        <v>2053</v>
      </c>
      <c r="B33" s="33">
        <f>A33-AnoBase+0.5</f>
        <v/>
      </c>
      <c r="C33" s="24">
        <f>'Consolidado'!Q32</f>
        <v/>
      </c>
      <c r="D33" s="34">
        <f>1/(1+Ke)^B33</f>
        <v/>
      </c>
      <c r="E33" s="24">
        <f>C33*D33</f>
        <v/>
      </c>
      <c r="F33" s="24">
        <f>F32+E33</f>
        <v/>
      </c>
      <c r="G33" s="24">
        <f>C33</f>
        <v/>
      </c>
    </row>
    <row r="34">
      <c r="A34" s="23" t="n">
        <v>2054</v>
      </c>
      <c r="B34" s="33">
        <f>A34-AnoBase+0.5</f>
        <v/>
      </c>
      <c r="C34" s="24">
        <f>'Consolidado'!Q33</f>
        <v/>
      </c>
      <c r="D34" s="34">
        <f>1/(1+Ke)^B34</f>
        <v/>
      </c>
      <c r="E34" s="24">
        <f>C34*D34</f>
        <v/>
      </c>
      <c r="F34" s="24">
        <f>F33+E34</f>
        <v/>
      </c>
      <c r="G34" s="24">
        <f>C34</f>
        <v/>
      </c>
    </row>
    <row r="35">
      <c r="A35" s="23" t="n">
        <v>2055</v>
      </c>
      <c r="B35" s="33">
        <f>A35-AnoBase+0.5</f>
        <v/>
      </c>
      <c r="C35" s="24">
        <f>'Consolidado'!Q34</f>
        <v/>
      </c>
      <c r="D35" s="34">
        <f>1/(1+Ke)^B35</f>
        <v/>
      </c>
      <c r="E35" s="24">
        <f>C35*D35</f>
        <v/>
      </c>
      <c r="F35" s="24">
        <f>F34+E35</f>
        <v/>
      </c>
      <c r="G35" s="24">
        <f>C35</f>
        <v/>
      </c>
    </row>
    <row r="36">
      <c r="A36" s="23" t="n">
        <v>2056</v>
      </c>
      <c r="B36" s="33">
        <f>A36-AnoBase+0.5</f>
        <v/>
      </c>
      <c r="C36" s="24">
        <f>'Consolidado'!Q35</f>
        <v/>
      </c>
      <c r="D36" s="34">
        <f>1/(1+Ke)^B36</f>
        <v/>
      </c>
      <c r="E36" s="24">
        <f>C36*D36</f>
        <v/>
      </c>
      <c r="F36" s="24">
        <f>F35+E36</f>
        <v/>
      </c>
      <c r="G36" s="24">
        <f>C36</f>
        <v/>
      </c>
    </row>
    <row r="37">
      <c r="A37" s="23" t="n">
        <v>2057</v>
      </c>
      <c r="B37" s="33">
        <f>A37-AnoBase+0.5</f>
        <v/>
      </c>
      <c r="C37" s="24">
        <f>'Consolidado'!Q36</f>
        <v/>
      </c>
      <c r="D37" s="34">
        <f>1/(1+Ke)^B37</f>
        <v/>
      </c>
      <c r="E37" s="24">
        <f>C37*D37</f>
        <v/>
      </c>
      <c r="F37" s="24">
        <f>F36+E37</f>
        <v/>
      </c>
      <c r="G37" s="24">
        <f>C37</f>
        <v/>
      </c>
    </row>
    <row r="38">
      <c r="A38" s="23" t="n">
        <v>2058</v>
      </c>
      <c r="B38" s="33">
        <f>A38-AnoBase+0.5</f>
        <v/>
      </c>
      <c r="C38" s="24">
        <f>'Consolidado'!Q37</f>
        <v/>
      </c>
      <c r="D38" s="34">
        <f>1/(1+Ke)^B38</f>
        <v/>
      </c>
      <c r="E38" s="24">
        <f>C38*D38</f>
        <v/>
      </c>
      <c r="F38" s="24">
        <f>F37+E38</f>
        <v/>
      </c>
      <c r="G38" s="24">
        <f>C38</f>
        <v/>
      </c>
    </row>
    <row r="39">
      <c r="A39" s="23" t="n">
        <v>2059</v>
      </c>
      <c r="B39" s="33">
        <f>A39-AnoBase+0.5</f>
        <v/>
      </c>
      <c r="C39" s="24">
        <f>'Consolidado'!Q38</f>
        <v/>
      </c>
      <c r="D39" s="34">
        <f>1/(1+Ke)^B39</f>
        <v/>
      </c>
      <c r="E39" s="24">
        <f>C39*D39</f>
        <v/>
      </c>
      <c r="F39" s="24">
        <f>F38+E39</f>
        <v/>
      </c>
      <c r="G39" s="24">
        <f>C39</f>
        <v/>
      </c>
    </row>
    <row r="40">
      <c r="A40" s="23" t="n">
        <v>2060</v>
      </c>
      <c r="B40" s="33">
        <f>A40-AnoBase+0.5</f>
        <v/>
      </c>
      <c r="C40" s="24">
        <f>'Consolidado'!Q39</f>
        <v/>
      </c>
      <c r="D40" s="34">
        <f>1/(1+Ke)^B40</f>
        <v/>
      </c>
      <c r="E40" s="24">
        <f>C40*D40</f>
        <v/>
      </c>
      <c r="F40" s="24">
        <f>F39+E40</f>
        <v/>
      </c>
      <c r="G40" s="24">
        <f>C40</f>
        <v/>
      </c>
    </row>
    <row r="41">
      <c r="A41" s="23" t="n">
        <v>2061</v>
      </c>
      <c r="B41" s="33">
        <f>A41-AnoBase+0.5</f>
        <v/>
      </c>
      <c r="C41" s="24">
        <f>'Consolidado'!Q40</f>
        <v/>
      </c>
      <c r="D41" s="34">
        <f>1/(1+Ke)^B41</f>
        <v/>
      </c>
      <c r="E41" s="24">
        <f>C41*D41</f>
        <v/>
      </c>
      <c r="F41" s="24">
        <f>F40+E41</f>
        <v/>
      </c>
      <c r="G41" s="24">
        <f>C41</f>
        <v/>
      </c>
    </row>
    <row r="42">
      <c r="A42" s="23" t="n">
        <v>2062</v>
      </c>
      <c r="B42" s="33">
        <f>A42-AnoBase+0.5</f>
        <v/>
      </c>
      <c r="C42" s="24">
        <f>'Consolidado'!Q41</f>
        <v/>
      </c>
      <c r="D42" s="34">
        <f>1/(1+Ke)^B42</f>
        <v/>
      </c>
      <c r="E42" s="24">
        <f>C42*D42</f>
        <v/>
      </c>
      <c r="F42" s="24">
        <f>F41+E42</f>
        <v/>
      </c>
      <c r="G42" s="24">
        <f>C42</f>
        <v/>
      </c>
    </row>
    <row r="43">
      <c r="A43" s="23" t="n">
        <v>2063</v>
      </c>
      <c r="B43" s="33">
        <f>A43-AnoBase+0.5</f>
        <v/>
      </c>
      <c r="C43" s="24">
        <f>'Consolidado'!Q42</f>
        <v/>
      </c>
      <c r="D43" s="34">
        <f>1/(1+Ke)^B43</f>
        <v/>
      </c>
      <c r="E43" s="24">
        <f>C43*D43</f>
        <v/>
      </c>
      <c r="F43" s="24">
        <f>F42+E43</f>
        <v/>
      </c>
      <c r="G43" s="24">
        <f>C43</f>
        <v/>
      </c>
    </row>
    <row r="44">
      <c r="A44" s="23" t="n">
        <v>2064</v>
      </c>
      <c r="B44" s="33">
        <f>A44-AnoBase+0.5</f>
        <v/>
      </c>
      <c r="C44" s="24">
        <f>'Consolidado'!Q43</f>
        <v/>
      </c>
      <c r="D44" s="34">
        <f>1/(1+Ke)^B44</f>
        <v/>
      </c>
      <c r="E44" s="24">
        <f>C44*D44</f>
        <v/>
      </c>
      <c r="F44" s="24">
        <f>F43+E44</f>
        <v/>
      </c>
      <c r="G44" s="24">
        <f>C44</f>
        <v/>
      </c>
    </row>
    <row r="45">
      <c r="A45" s="23" t="n">
        <v>2065</v>
      </c>
      <c r="B45" s="33">
        <f>A45-AnoBase+0.5</f>
        <v/>
      </c>
      <c r="C45" s="24">
        <f>'Consolidado'!Q44</f>
        <v/>
      </c>
      <c r="D45" s="34">
        <f>1/(1+Ke)^B45</f>
        <v/>
      </c>
      <c r="E45" s="24">
        <f>C45*D45</f>
        <v/>
      </c>
      <c r="F45" s="24">
        <f>F44+E45</f>
        <v/>
      </c>
      <c r="G45" s="24">
        <f>C45</f>
        <v/>
      </c>
    </row>
    <row r="46">
      <c r="A46" s="23" t="n">
        <v>2066</v>
      </c>
      <c r="B46" s="33">
        <f>A46-AnoBase+0.5</f>
        <v/>
      </c>
      <c r="C46" s="24">
        <f>'Consolidado'!Q45</f>
        <v/>
      </c>
      <c r="D46" s="34">
        <f>1/(1+Ke)^B46</f>
        <v/>
      </c>
      <c r="E46" s="24">
        <f>C46*D46</f>
        <v/>
      </c>
      <c r="F46" s="24">
        <f>F45+E46</f>
        <v/>
      </c>
      <c r="G46" s="24">
        <f>C46</f>
        <v/>
      </c>
    </row>
    <row r="47">
      <c r="A47" s="23" t="n">
        <v>2067</v>
      </c>
      <c r="B47" s="33">
        <f>A47-AnoBase+0.5</f>
        <v/>
      </c>
      <c r="C47" s="24">
        <f>'Consolidado'!Q46</f>
        <v/>
      </c>
      <c r="D47" s="34">
        <f>1/(1+Ke)^B47</f>
        <v/>
      </c>
      <c r="E47" s="24">
        <f>C47*D47</f>
        <v/>
      </c>
      <c r="F47" s="24">
        <f>F46+E47</f>
        <v/>
      </c>
      <c r="G47" s="24">
        <f>C47</f>
        <v/>
      </c>
    </row>
    <row r="48">
      <c r="A48" s="23" t="n">
        <v>2068</v>
      </c>
      <c r="B48" s="33">
        <f>A48-AnoBase+0.5</f>
        <v/>
      </c>
      <c r="C48" s="24">
        <f>'Consolidado'!Q47</f>
        <v/>
      </c>
      <c r="D48" s="34">
        <f>1/(1+Ke)^B48</f>
        <v/>
      </c>
      <c r="E48" s="24">
        <f>C48*D48</f>
        <v/>
      </c>
      <c r="F48" s="24">
        <f>F47+E48</f>
        <v/>
      </c>
      <c r="G48" s="24">
        <f>C48</f>
        <v/>
      </c>
    </row>
    <row r="49">
      <c r="A49" s="23" t="n">
        <v>2069</v>
      </c>
      <c r="B49" s="33">
        <f>A49-AnoBase+0.5</f>
        <v/>
      </c>
      <c r="C49" s="24">
        <f>'Consolidado'!Q48</f>
        <v/>
      </c>
      <c r="D49" s="34">
        <f>1/(1+Ke)^B49</f>
        <v/>
      </c>
      <c r="E49" s="24">
        <f>C49*D49</f>
        <v/>
      </c>
      <c r="F49" s="24">
        <f>F48+E49</f>
        <v/>
      </c>
      <c r="G49" s="24">
        <f>C49</f>
        <v/>
      </c>
    </row>
    <row r="50">
      <c r="A50" s="23" t="n">
        <v>2070</v>
      </c>
      <c r="B50" s="33">
        <f>A50-AnoBase+0.5</f>
        <v/>
      </c>
      <c r="C50" s="24">
        <f>'Consolidado'!Q49</f>
        <v/>
      </c>
      <c r="D50" s="34">
        <f>1/(1+Ke)^B50</f>
        <v/>
      </c>
      <c r="E50" s="24">
        <f>C50*D50</f>
        <v/>
      </c>
      <c r="F50" s="24">
        <f>F49+E50</f>
        <v/>
      </c>
      <c r="G50" s="24">
        <f>C50</f>
        <v/>
      </c>
    </row>
    <row r="51">
      <c r="A51" s="23" t="n">
        <v>2071</v>
      </c>
      <c r="B51" s="33">
        <f>A51-AnoBase+0.5</f>
        <v/>
      </c>
      <c r="C51" s="24">
        <f>'Consolidado'!Q50</f>
        <v/>
      </c>
      <c r="D51" s="34">
        <f>1/(1+Ke)^B51</f>
        <v/>
      </c>
      <c r="E51" s="24">
        <f>C51*D51</f>
        <v/>
      </c>
      <c r="F51" s="24">
        <f>F50+E51</f>
        <v/>
      </c>
      <c r="G51" s="24">
        <f>C51</f>
        <v/>
      </c>
    </row>
    <row r="52">
      <c r="A52" s="23" t="n">
        <v>2072</v>
      </c>
      <c r="B52" s="33">
        <f>A52-AnoBase+0.5</f>
        <v/>
      </c>
      <c r="C52" s="24">
        <f>'Consolidado'!Q51</f>
        <v/>
      </c>
      <c r="D52" s="34">
        <f>1/(1+Ke)^B52</f>
        <v/>
      </c>
      <c r="E52" s="24">
        <f>C52*D52</f>
        <v/>
      </c>
      <c r="F52" s="24">
        <f>F51+E52</f>
        <v/>
      </c>
      <c r="G52" s="24">
        <f>C52</f>
        <v/>
      </c>
    </row>
    <row r="53">
      <c r="A53" s="23" t="n">
        <v>2073</v>
      </c>
      <c r="B53" s="33">
        <f>A53-AnoBase+0.5</f>
        <v/>
      </c>
      <c r="C53" s="24">
        <f>'Consolidado'!Q52</f>
        <v/>
      </c>
      <c r="D53" s="34">
        <f>1/(1+Ke)^B53</f>
        <v/>
      </c>
      <c r="E53" s="24">
        <f>C53*D53</f>
        <v/>
      </c>
      <c r="F53" s="24">
        <f>F52+E53</f>
        <v/>
      </c>
      <c r="G53" s="24">
        <f>C53</f>
        <v/>
      </c>
    </row>
    <row r="54">
      <c r="A54" s="23" t="n">
        <v>2074</v>
      </c>
      <c r="B54" s="33">
        <f>A54-AnoBase+0.5</f>
        <v/>
      </c>
      <c r="C54" s="24">
        <f>'Consolidado'!Q53</f>
        <v/>
      </c>
      <c r="D54" s="34">
        <f>1/(1+Ke)^B54</f>
        <v/>
      </c>
      <c r="E54" s="24">
        <f>C54*D54</f>
        <v/>
      </c>
      <c r="F54" s="24">
        <f>F53+E54</f>
        <v/>
      </c>
      <c r="G54" s="24">
        <f>C54</f>
        <v/>
      </c>
    </row>
    <row r="55">
      <c r="A55" s="23" t="n">
        <v>2075</v>
      </c>
      <c r="B55" s="33">
        <f>A55-AnoBase+0.5</f>
        <v/>
      </c>
      <c r="C55" s="24">
        <f>'Consolidado'!Q54</f>
        <v/>
      </c>
      <c r="D55" s="34">
        <f>1/(1+Ke)^B55</f>
        <v/>
      </c>
      <c r="E55" s="24">
        <f>C55*D55</f>
        <v/>
      </c>
      <c r="F55" s="24">
        <f>F54+E55</f>
        <v/>
      </c>
      <c r="G55" s="24">
        <f>C55</f>
        <v/>
      </c>
    </row>
    <row r="56">
      <c r="A56" s="23" t="n">
        <v>2076</v>
      </c>
      <c r="B56" s="33">
        <f>A56-AnoBase+0.5</f>
        <v/>
      </c>
      <c r="C56" s="24">
        <f>'Consolidado'!Q55</f>
        <v/>
      </c>
      <c r="D56" s="34">
        <f>1/(1+Ke)^B56</f>
        <v/>
      </c>
      <c r="E56" s="24">
        <f>C56*D56</f>
        <v/>
      </c>
      <c r="F56" s="24">
        <f>F55+E56</f>
        <v/>
      </c>
      <c r="G56" s="24">
        <f>C56</f>
        <v/>
      </c>
    </row>
    <row r="57">
      <c r="A57" s="23" t="n">
        <v>2077</v>
      </c>
      <c r="B57" s="33">
        <f>A57-AnoBase+0.5</f>
        <v/>
      </c>
      <c r="C57" s="24">
        <f>'Consolidado'!Q56</f>
        <v/>
      </c>
      <c r="D57" s="34">
        <f>1/(1+Ke)^B57</f>
        <v/>
      </c>
      <c r="E57" s="24">
        <f>C57*D57</f>
        <v/>
      </c>
      <c r="F57" s="24">
        <f>F56+E57</f>
        <v/>
      </c>
      <c r="G57" s="24">
        <f>C57</f>
        <v/>
      </c>
    </row>
    <row r="58">
      <c r="A58" s="23" t="n">
        <v>2078</v>
      </c>
      <c r="B58" s="33">
        <f>A58-AnoBase+0.5</f>
        <v/>
      </c>
      <c r="C58" s="24">
        <f>'Consolidado'!Q57</f>
        <v/>
      </c>
      <c r="D58" s="34">
        <f>1/(1+Ke)^B58</f>
        <v/>
      </c>
      <c r="E58" s="24">
        <f>C58*D58</f>
        <v/>
      </c>
      <c r="F58" s="24">
        <f>F57+E58</f>
        <v/>
      </c>
      <c r="G58" s="24">
        <f>C58</f>
        <v/>
      </c>
    </row>
    <row r="59">
      <c r="A59" s="23" t="n">
        <v>2079</v>
      </c>
      <c r="B59" s="33">
        <f>A59-AnoBase+0.5</f>
        <v/>
      </c>
      <c r="C59" s="24">
        <f>'Consolidado'!Q58</f>
        <v/>
      </c>
      <c r="D59" s="34">
        <f>1/(1+Ke)^B59</f>
        <v/>
      </c>
      <c r="E59" s="24">
        <f>C59*D59</f>
        <v/>
      </c>
      <c r="F59" s="24">
        <f>F58+E59</f>
        <v/>
      </c>
      <c r="G59" s="24">
        <f>C59</f>
        <v/>
      </c>
    </row>
    <row r="60">
      <c r="A60" s="23" t="n">
        <v>2080</v>
      </c>
      <c r="B60" s="33">
        <f>A60-AnoBase+0.5</f>
        <v/>
      </c>
      <c r="C60" s="24">
        <f>'Consolidado'!Q59</f>
        <v/>
      </c>
      <c r="D60" s="34">
        <f>1/(1+Ke)^B60</f>
        <v/>
      </c>
      <c r="E60" s="24">
        <f>C60*D60</f>
        <v/>
      </c>
      <c r="F60" s="24">
        <f>F59+E60</f>
        <v/>
      </c>
      <c r="G60" s="24">
        <f>C60+VT</f>
        <v/>
      </c>
    </row>
    <row r="63">
      <c r="A63" s="2" t="inlineStr">
        <is>
          <t>RESULTADO</t>
        </is>
      </c>
      <c r="B63" s="6" t="n"/>
      <c r="C63" s="6" t="n"/>
      <c r="D63" s="6" t="n"/>
    </row>
    <row r="64">
      <c r="A64" s="7" t="inlineStr">
        <is>
          <t>VP do fluxo explícito</t>
        </is>
      </c>
      <c r="B64" s="29">
        <f>SUM(E6:E60)</f>
        <v/>
      </c>
      <c r="C64" s="4" t="inlineStr">
        <is>
          <t>R$ mn</t>
        </is>
      </c>
    </row>
    <row r="65">
      <c r="A65" s="7" t="inlineStr">
        <is>
          <t>VP do valor terminal</t>
        </is>
      </c>
      <c r="B65" s="29">
        <f>VT/(1+Ke)^B60</f>
        <v/>
      </c>
      <c r="C65" s="4" t="inlineStr">
        <is>
          <t>R$ mn</t>
        </is>
      </c>
    </row>
    <row r="66">
      <c r="A66" s="7" t="inlineStr">
        <is>
          <t>Valor do equity</t>
        </is>
      </c>
      <c r="B66" s="29">
        <f>B64+B65</f>
        <v/>
      </c>
      <c r="C66" s="4" t="inlineStr">
        <is>
          <t>R$ mn</t>
        </is>
      </c>
    </row>
    <row r="67">
      <c r="A67" s="7" t="inlineStr">
        <is>
          <t>Valor de mercado atual</t>
        </is>
      </c>
      <c r="B67" s="29">
        <f>MktCap</f>
        <v/>
      </c>
      <c r="C67" s="4" t="inlineStr">
        <is>
          <t>R$ mn</t>
        </is>
      </c>
    </row>
    <row r="68">
      <c r="A68" s="7" t="inlineStr">
        <is>
          <t>Preço-alvo por unit</t>
        </is>
      </c>
      <c r="B68" s="35">
        <f>B66*1000000/Units</f>
        <v/>
      </c>
      <c r="C68" s="4" t="inlineStr">
        <is>
          <t>R$/unit</t>
        </is>
      </c>
    </row>
    <row r="69">
      <c r="A69" s="7" t="inlineStr">
        <is>
          <t>Cotação atual</t>
        </is>
      </c>
      <c r="B69" s="35">
        <f>PxUnit</f>
        <v/>
      </c>
      <c r="C69" s="4" t="inlineStr">
        <is>
          <t>R$/unit</t>
        </is>
      </c>
    </row>
    <row r="70">
      <c r="A70" s="7" t="inlineStr">
        <is>
          <t>Upside / (downside)</t>
        </is>
      </c>
      <c r="B70" s="36">
        <f>B68/B69-1</f>
        <v/>
      </c>
      <c r="C70" s="4" t="inlineStr"/>
    </row>
    <row r="71">
      <c r="A71" s="7" t="inlineStr">
        <is>
          <t>TIR real implícita (no preço atual)</t>
        </is>
      </c>
      <c r="B71" s="36">
        <f>IRR(G5:G60,Ke)</f>
        <v/>
      </c>
      <c r="C71" s="4" t="inlineStr">
        <is>
          <t>a.a. real</t>
        </is>
      </c>
    </row>
    <row r="72">
      <c r="A72" s="7" t="inlineStr">
        <is>
          <t>TIR nominal equivalente</t>
        </is>
      </c>
      <c r="B72" s="36">
        <f>(1+B71)*(1+Infl)-1</f>
        <v/>
      </c>
      <c r="C72" s="4" t="inlineStr">
        <is>
          <t>a.a.</t>
        </is>
      </c>
    </row>
    <row r="73">
      <c r="A73" s="7" t="inlineStr">
        <is>
          <t>NTN-B 10 anos</t>
        </is>
      </c>
      <c r="B73" s="36">
        <f>NTNB</f>
        <v/>
      </c>
      <c r="C73" s="4" t="inlineStr">
        <is>
          <t>a.a. real</t>
        </is>
      </c>
    </row>
    <row r="74">
      <c r="A74" s="7" t="inlineStr">
        <is>
          <t>Prêmio sobre a NTN-B</t>
        </is>
      </c>
      <c r="B74" s="36">
        <f>B71-B73</f>
        <v/>
      </c>
      <c r="C74" s="4" t="inlineStr">
        <is>
          <t>p.p.</t>
        </is>
      </c>
    </row>
    <row r="75">
      <c r="A75" s="7" t="inlineStr">
        <is>
          <t>Gap a explicar (mercado − DCF)</t>
        </is>
      </c>
      <c r="B75" s="29">
        <f>B67-B66</f>
        <v/>
      </c>
      <c r="C75" s="4" t="inlineStr">
        <is>
          <t>R$ mn</t>
        </is>
      </c>
    </row>
    <row r="76">
      <c r="A76" s="7" t="inlineStr">
        <is>
          <t>Gap por unit</t>
        </is>
      </c>
      <c r="B76" s="35">
        <f>B75*1000000/Units</f>
        <v/>
      </c>
      <c r="C76" s="4" t="inlineStr">
        <is>
          <t>R$/unit</t>
        </is>
      </c>
    </row>
    <row r="78">
      <c r="A78" s="2" t="inlineStr">
        <is>
          <t>ABERTURA POR SEGMENTO (VP do EBITDA após impostos, R$ mn)</t>
        </is>
      </c>
      <c r="B78" s="6" t="n"/>
      <c r="C78" s="6" t="n"/>
      <c r="D78" s="6" t="n"/>
    </row>
    <row r="79">
      <c r="A79" s="7" t="inlineStr">
        <is>
          <t>Transmissão</t>
        </is>
      </c>
      <c r="B79" s="14">
        <f>SUMPRODUCT('Consolidado'!B5:B59*(1-TaxEff),D6:D60)</f>
        <v/>
      </c>
    </row>
    <row r="80">
      <c r="A80" s="7" t="inlineStr">
        <is>
          <t>Geração e comercialização</t>
        </is>
      </c>
      <c r="B80" s="14">
        <f>SUMPRODUCT('Consolidado'!C5:C59*(1-TaxEff),D6:D60)</f>
        <v/>
      </c>
    </row>
    <row r="81">
      <c r="A81" s="7" t="inlineStr">
        <is>
          <t>Holding</t>
        </is>
      </c>
      <c r="B81" s="14">
        <f>SUMPRODUCT('Consolidado'!D5:D59,D6:D60)</f>
        <v/>
      </c>
    </row>
    <row r="82">
      <c r="A82" s="7" t="inlineStr">
        <is>
          <t>(-) Dívida líquida atual</t>
        </is>
      </c>
      <c r="B82" s="14">
        <f>-DivLiq0</f>
        <v/>
      </c>
    </row>
    <row r="83">
      <c r="A83" s="7" t="inlineStr">
        <is>
          <t>(-) Minoritários e capex, líquido</t>
        </is>
      </c>
      <c r="B83" s="14">
        <f>Equity-B79-B80-B81-B82</f>
        <v/>
      </c>
    </row>
    <row r="84">
      <c r="A84" s="21" t="inlineStr">
        <is>
          <t>Valor do equity</t>
        </is>
      </c>
      <c r="B84" s="29">
        <f>SUM(B79:B83)</f>
        <v/>
      </c>
    </row>
    <row r="85">
      <c r="A85" s="4" t="inlineStr">
        <is>
          <t>A abertura é indicativa: descontar EBITDA por segmento não é o mesmo que alocar capex e dívida a cada um. A linha residual fecha a conta contra o equity do DCF.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Sensibilidade</t>
        </is>
      </c>
    </row>
    <row r="2">
      <c r="A2" s="4" t="inlineStr">
        <is>
          <t>Cada célula reavalia o DCF inteiro pela fórmula — não depende de tabela de dados do Excel, então os números aparecem corretos em qualquer leitor de planilha.</t>
        </is>
      </c>
    </row>
    <row r="4">
      <c r="A4" s="2" t="inlineStr">
        <is>
          <t>Preço-alvo por unit (R$)</t>
        </is>
      </c>
    </row>
    <row r="5">
      <c r="A5" s="4" t="inlineStr">
        <is>
          <t>Ke real  ↓   /   Choque no fluxo  →</t>
        </is>
      </c>
      <c r="B5" s="37" t="n">
        <v>-0.15</v>
      </c>
      <c r="C5" s="37" t="n">
        <v>-0.075</v>
      </c>
      <c r="D5" s="37" t="n">
        <v>0</v>
      </c>
      <c r="E5" s="37" t="n">
        <v>0.075</v>
      </c>
      <c r="F5" s="37" t="n">
        <v>0.15</v>
      </c>
    </row>
    <row r="6">
      <c r="A6" s="38">
        <f>Ke+-0.02</f>
        <v/>
      </c>
      <c r="B6" s="39">
        <f>(SUMPRODUCT('Valuation'!$C$6:$C$60*(1+-0.15),1/(1+$A6)^'Valuation'!$B$6:$B$60)+VT/(1+$A6)^54.5)*1000000/Units</f>
        <v/>
      </c>
      <c r="C6" s="39">
        <f>(SUMPRODUCT('Valuation'!$C$6:$C$60*(1+-0.075),1/(1+$A6)^'Valuation'!$B$6:$B$60)+VT/(1+$A6)^54.5)*1000000/Units</f>
        <v/>
      </c>
      <c r="D6" s="39">
        <f>(SUMPRODUCT('Valuation'!$C$6:$C$60*(1+0.0),1/(1+$A6)^'Valuation'!$B$6:$B$60)+VT/(1+$A6)^54.5)*1000000/Units</f>
        <v/>
      </c>
      <c r="E6" s="39">
        <f>(SUMPRODUCT('Valuation'!$C$6:$C$60*(1+0.075),1/(1+$A6)^'Valuation'!$B$6:$B$60)+VT/(1+$A6)^54.5)*1000000/Units</f>
        <v/>
      </c>
      <c r="F6" s="39">
        <f>(SUMPRODUCT('Valuation'!$C$6:$C$60*(1+0.15),1/(1+$A6)^'Valuation'!$B$6:$B$60)+VT/(1+$A6)^54.5)*1000000/Units</f>
        <v/>
      </c>
    </row>
    <row r="7">
      <c r="A7" s="38">
        <f>Ke+-0.01</f>
        <v/>
      </c>
      <c r="B7" s="39">
        <f>(SUMPRODUCT('Valuation'!$C$6:$C$60*(1+-0.15),1/(1+$A7)^'Valuation'!$B$6:$B$60)+VT/(1+$A7)^54.5)*1000000/Units</f>
        <v/>
      </c>
      <c r="C7" s="39">
        <f>(SUMPRODUCT('Valuation'!$C$6:$C$60*(1+-0.075),1/(1+$A7)^'Valuation'!$B$6:$B$60)+VT/(1+$A7)^54.5)*1000000/Units</f>
        <v/>
      </c>
      <c r="D7" s="39">
        <f>(SUMPRODUCT('Valuation'!$C$6:$C$60*(1+0.0),1/(1+$A7)^'Valuation'!$B$6:$B$60)+VT/(1+$A7)^54.5)*1000000/Units</f>
        <v/>
      </c>
      <c r="E7" s="39">
        <f>(SUMPRODUCT('Valuation'!$C$6:$C$60*(1+0.075),1/(1+$A7)^'Valuation'!$B$6:$B$60)+VT/(1+$A7)^54.5)*1000000/Units</f>
        <v/>
      </c>
      <c r="F7" s="39">
        <f>(SUMPRODUCT('Valuation'!$C$6:$C$60*(1+0.15),1/(1+$A7)^'Valuation'!$B$6:$B$60)+VT/(1+$A7)^54.5)*1000000/Units</f>
        <v/>
      </c>
    </row>
    <row r="8">
      <c r="A8" s="38">
        <f>Ke+0.0</f>
        <v/>
      </c>
      <c r="B8" s="39">
        <f>(SUMPRODUCT('Valuation'!$C$6:$C$60*(1+-0.15),1/(1+$A8)^'Valuation'!$B$6:$B$60)+VT/(1+$A8)^54.5)*1000000/Units</f>
        <v/>
      </c>
      <c r="C8" s="39">
        <f>(SUMPRODUCT('Valuation'!$C$6:$C$60*(1+-0.075),1/(1+$A8)^'Valuation'!$B$6:$B$60)+VT/(1+$A8)^54.5)*1000000/Units</f>
        <v/>
      </c>
      <c r="D8" s="39">
        <f>(SUMPRODUCT('Valuation'!$C$6:$C$60*(1+0.0),1/(1+$A8)^'Valuation'!$B$6:$B$60)+VT/(1+$A8)^54.5)*1000000/Units</f>
        <v/>
      </c>
      <c r="E8" s="39">
        <f>(SUMPRODUCT('Valuation'!$C$6:$C$60*(1+0.075),1/(1+$A8)^'Valuation'!$B$6:$B$60)+VT/(1+$A8)^54.5)*1000000/Units</f>
        <v/>
      </c>
      <c r="F8" s="39">
        <f>(SUMPRODUCT('Valuation'!$C$6:$C$60*(1+0.15),1/(1+$A8)^'Valuation'!$B$6:$B$60)+VT/(1+$A8)^54.5)*1000000/Units</f>
        <v/>
      </c>
    </row>
    <row r="9">
      <c r="A9" s="38">
        <f>Ke+0.01</f>
        <v/>
      </c>
      <c r="B9" s="39">
        <f>(SUMPRODUCT('Valuation'!$C$6:$C$60*(1+-0.15),1/(1+$A9)^'Valuation'!$B$6:$B$60)+VT/(1+$A9)^54.5)*1000000/Units</f>
        <v/>
      </c>
      <c r="C9" s="39">
        <f>(SUMPRODUCT('Valuation'!$C$6:$C$60*(1+-0.075),1/(1+$A9)^'Valuation'!$B$6:$B$60)+VT/(1+$A9)^54.5)*1000000/Units</f>
        <v/>
      </c>
      <c r="D9" s="39">
        <f>(SUMPRODUCT('Valuation'!$C$6:$C$60*(1+0.0),1/(1+$A9)^'Valuation'!$B$6:$B$60)+VT/(1+$A9)^54.5)*1000000/Units</f>
        <v/>
      </c>
      <c r="E9" s="39">
        <f>(SUMPRODUCT('Valuation'!$C$6:$C$60*(1+0.075),1/(1+$A9)^'Valuation'!$B$6:$B$60)+VT/(1+$A9)^54.5)*1000000/Units</f>
        <v/>
      </c>
      <c r="F9" s="39">
        <f>(SUMPRODUCT('Valuation'!$C$6:$C$60*(1+0.15),1/(1+$A9)^'Valuation'!$B$6:$B$60)+VT/(1+$A9)^54.5)*1000000/Units</f>
        <v/>
      </c>
    </row>
    <row r="10">
      <c r="A10" s="38">
        <f>Ke+0.02</f>
        <v/>
      </c>
      <c r="B10" s="39">
        <f>(SUMPRODUCT('Valuation'!$C$6:$C$60*(1+-0.15),1/(1+$A10)^'Valuation'!$B$6:$B$60)+VT/(1+$A10)^54.5)*1000000/Units</f>
        <v/>
      </c>
      <c r="C10" s="39">
        <f>(SUMPRODUCT('Valuation'!$C$6:$C$60*(1+-0.075),1/(1+$A10)^'Valuation'!$B$6:$B$60)+VT/(1+$A10)^54.5)*1000000/Units</f>
        <v/>
      </c>
      <c r="D10" s="39">
        <f>(SUMPRODUCT('Valuation'!$C$6:$C$60*(1+0.0),1/(1+$A10)^'Valuation'!$B$6:$B$60)+VT/(1+$A10)^54.5)*1000000/Units</f>
        <v/>
      </c>
      <c r="E10" s="39">
        <f>(SUMPRODUCT('Valuation'!$C$6:$C$60*(1+0.075),1/(1+$A10)^'Valuation'!$B$6:$B$60)+VT/(1+$A10)^54.5)*1000000/Units</f>
        <v/>
      </c>
      <c r="F10" s="39">
        <f>(SUMPRODUCT('Valuation'!$C$6:$C$60*(1+0.15),1/(1+$A10)^'Valuation'!$B$6:$B$60)+VT/(1+$A10)^54.5)*1000000/Units</f>
        <v/>
      </c>
    </row>
    <row r="13">
      <c r="A13" s="2" t="inlineStr">
        <is>
          <t>Upside vs. cotação atual</t>
        </is>
      </c>
    </row>
    <row r="14">
      <c r="A14" s="4" t="inlineStr">
        <is>
          <t>Ke real  ↓   /   Choque no fluxo  →</t>
        </is>
      </c>
      <c r="B14" s="37" t="n">
        <v>-0.15</v>
      </c>
      <c r="C14" s="37" t="n">
        <v>-0.075</v>
      </c>
      <c r="D14" s="37" t="n">
        <v>0</v>
      </c>
      <c r="E14" s="37" t="n">
        <v>0.075</v>
      </c>
      <c r="F14" s="37" t="n">
        <v>0.15</v>
      </c>
    </row>
    <row r="15">
      <c r="A15" s="38">
        <f>A6</f>
        <v/>
      </c>
      <c r="B15" s="15">
        <f>B6/PxUnit-1</f>
        <v/>
      </c>
      <c r="C15" s="15">
        <f>C6/PxUnit-1</f>
        <v/>
      </c>
      <c r="D15" s="15">
        <f>D6/PxUnit-1</f>
        <v/>
      </c>
      <c r="E15" s="15">
        <f>E6/PxUnit-1</f>
        <v/>
      </c>
      <c r="F15" s="15">
        <f>F6/PxUnit-1</f>
        <v/>
      </c>
    </row>
    <row r="16">
      <c r="A16" s="38">
        <f>A7</f>
        <v/>
      </c>
      <c r="B16" s="15">
        <f>B7/PxUnit-1</f>
        <v/>
      </c>
      <c r="C16" s="15">
        <f>C7/PxUnit-1</f>
        <v/>
      </c>
      <c r="D16" s="15">
        <f>D7/PxUnit-1</f>
        <v/>
      </c>
      <c r="E16" s="15">
        <f>E7/PxUnit-1</f>
        <v/>
      </c>
      <c r="F16" s="15">
        <f>F7/PxUnit-1</f>
        <v/>
      </c>
    </row>
    <row r="17">
      <c r="A17" s="38">
        <f>A8</f>
        <v/>
      </c>
      <c r="B17" s="15">
        <f>B8/PxUnit-1</f>
        <v/>
      </c>
      <c r="C17" s="15">
        <f>C8/PxUnit-1</f>
        <v/>
      </c>
      <c r="D17" s="15">
        <f>D8/PxUnit-1</f>
        <v/>
      </c>
      <c r="E17" s="15">
        <f>E8/PxUnit-1</f>
        <v/>
      </c>
      <c r="F17" s="15">
        <f>F8/PxUnit-1</f>
        <v/>
      </c>
    </row>
    <row r="18">
      <c r="A18" s="38">
        <f>A9</f>
        <v/>
      </c>
      <c r="B18" s="15">
        <f>B9/PxUnit-1</f>
        <v/>
      </c>
      <c r="C18" s="15">
        <f>C9/PxUnit-1</f>
        <v/>
      </c>
      <c r="D18" s="15">
        <f>D9/PxUnit-1</f>
        <v/>
      </c>
      <c r="E18" s="15">
        <f>E9/PxUnit-1</f>
        <v/>
      </c>
      <c r="F18" s="15">
        <f>F9/PxUnit-1</f>
        <v/>
      </c>
    </row>
    <row r="19">
      <c r="A19" s="38">
        <f>A10</f>
        <v/>
      </c>
      <c r="B19" s="15">
        <f>B10/PxUnit-1</f>
        <v/>
      </c>
      <c r="C19" s="15">
        <f>C10/PxUnit-1</f>
        <v/>
      </c>
      <c r="D19" s="15">
        <f>D10/PxUnit-1</f>
        <v/>
      </c>
      <c r="E19" s="15">
        <f>E10/PxUnit-1</f>
        <v/>
      </c>
      <c r="F19" s="15">
        <f>F10/PxUnit-1</f>
        <v/>
      </c>
    </row>
    <row r="21">
      <c r="A21" s="2" t="inlineStr">
        <is>
          <t>TIR real implícita por preço de entrada</t>
        </is>
      </c>
    </row>
    <row r="22">
      <c r="A22" s="40" t="inlineStr">
        <is>
          <t>Preço da unit (R$)</t>
        </is>
      </c>
      <c r="B22" s="39">
        <f>PxUnit*0.8</f>
        <v/>
      </c>
      <c r="C22" s="39">
        <f>PxUnit*0.9</f>
        <v/>
      </c>
      <c r="D22" s="39">
        <f>PxUnit*1.0</f>
        <v/>
      </c>
      <c r="E22" s="39">
        <f>PxUnit*1.1</f>
        <v/>
      </c>
      <c r="F22" s="39">
        <f>PxUnit*1.2</f>
        <v/>
      </c>
      <c r="G22" s="39">
        <f>PxUnit*1.3</f>
        <v/>
      </c>
    </row>
    <row r="23">
      <c r="A23" s="40" t="inlineStr">
        <is>
          <t>TIR real implícita</t>
        </is>
      </c>
      <c r="B23" s="36">
        <f>IRR(B28:B83,Ke)</f>
        <v/>
      </c>
      <c r="C23" s="36">
        <f>IRR(C28:C83,Ke)</f>
        <v/>
      </c>
      <c r="D23" s="36">
        <f>IRR(D28:D83,Ke)</f>
        <v/>
      </c>
      <c r="E23" s="36">
        <f>IRR(E28:E83,Ke)</f>
        <v/>
      </c>
      <c r="F23" s="36">
        <f>IRR(F28:F83,Ke)</f>
        <v/>
      </c>
      <c r="G23" s="36">
        <f>IRR(G28:G83,Ke)</f>
        <v/>
      </c>
    </row>
    <row r="24">
      <c r="A24" s="40" t="inlineStr">
        <is>
          <t>Prêmio sobre a NTN-B</t>
        </is>
      </c>
      <c r="B24" s="15">
        <f>B23-NTNB</f>
        <v/>
      </c>
      <c r="C24" s="15">
        <f>C23-NTNB</f>
        <v/>
      </c>
      <c r="D24" s="15">
        <f>D23-NTNB</f>
        <v/>
      </c>
      <c r="E24" s="15">
        <f>E23-NTNB</f>
        <v/>
      </c>
      <c r="F24" s="15">
        <f>F23-NTNB</f>
        <v/>
      </c>
      <c r="G24" s="15">
        <f>G23-NTNB</f>
        <v/>
      </c>
    </row>
    <row r="26" ht="14" customHeight="1">
      <c r="A26" s="4" t="inlineStr">
        <is>
          <t>Fluxos usados acima (auxiliar) — ano 0 = desembolso do investidor</t>
        </is>
      </c>
    </row>
    <row r="27">
      <c r="A27" s="40" t="inlineStr">
        <is>
          <t>Ano</t>
        </is>
      </c>
      <c r="B27" s="41">
        <f>B22</f>
        <v/>
      </c>
      <c r="C27" s="41">
        <f>C22</f>
        <v/>
      </c>
      <c r="D27" s="41">
        <f>D22</f>
        <v/>
      </c>
      <c r="E27" s="41">
        <f>E22</f>
        <v/>
      </c>
      <c r="F27" s="41">
        <f>F22</f>
        <v/>
      </c>
      <c r="G27" s="41">
        <f>G22</f>
        <v/>
      </c>
    </row>
    <row r="28">
      <c r="A28" s="7" t="inlineStr">
        <is>
          <t>Hoje</t>
        </is>
      </c>
      <c r="B28" s="24">
        <f>-B22*Units/1000000</f>
        <v/>
      </c>
      <c r="C28" s="24">
        <f>-C22*Units/1000000</f>
        <v/>
      </c>
      <c r="D28" s="24">
        <f>-D22*Units/1000000</f>
        <v/>
      </c>
      <c r="E28" s="24">
        <f>-E22*Units/1000000</f>
        <v/>
      </c>
      <c r="F28" s="24">
        <f>-F22*Units/1000000</f>
        <v/>
      </c>
      <c r="G28" s="24">
        <f>-G22*Units/1000000</f>
        <v/>
      </c>
    </row>
    <row r="29">
      <c r="A29" s="27" t="n">
        <v>2026</v>
      </c>
      <c r="B29" s="24">
        <f>'Valuation'!$G$6</f>
        <v/>
      </c>
      <c r="C29" s="24">
        <f>'Valuation'!$G$6</f>
        <v/>
      </c>
      <c r="D29" s="24">
        <f>'Valuation'!$G$6</f>
        <v/>
      </c>
      <c r="E29" s="24">
        <f>'Valuation'!$G$6</f>
        <v/>
      </c>
      <c r="F29" s="24">
        <f>'Valuation'!$G$6</f>
        <v/>
      </c>
      <c r="G29" s="24">
        <f>'Valuation'!$G$6</f>
        <v/>
      </c>
    </row>
    <row r="30">
      <c r="A30" s="27" t="n">
        <v>2027</v>
      </c>
      <c r="B30" s="24">
        <f>'Valuation'!$G$7</f>
        <v/>
      </c>
      <c r="C30" s="24">
        <f>'Valuation'!$G$7</f>
        <v/>
      </c>
      <c r="D30" s="24">
        <f>'Valuation'!$G$7</f>
        <v/>
      </c>
      <c r="E30" s="24">
        <f>'Valuation'!$G$7</f>
        <v/>
      </c>
      <c r="F30" s="24">
        <f>'Valuation'!$G$7</f>
        <v/>
      </c>
      <c r="G30" s="24">
        <f>'Valuation'!$G$7</f>
        <v/>
      </c>
    </row>
    <row r="31">
      <c r="A31" s="27" t="n">
        <v>2028</v>
      </c>
      <c r="B31" s="24">
        <f>'Valuation'!$G$8</f>
        <v/>
      </c>
      <c r="C31" s="24">
        <f>'Valuation'!$G$8</f>
        <v/>
      </c>
      <c r="D31" s="24">
        <f>'Valuation'!$G$8</f>
        <v/>
      </c>
      <c r="E31" s="24">
        <f>'Valuation'!$G$8</f>
        <v/>
      </c>
      <c r="F31" s="24">
        <f>'Valuation'!$G$8</f>
        <v/>
      </c>
      <c r="G31" s="24">
        <f>'Valuation'!$G$8</f>
        <v/>
      </c>
    </row>
    <row r="32">
      <c r="A32" s="27" t="n">
        <v>2029</v>
      </c>
      <c r="B32" s="24">
        <f>'Valuation'!$G$9</f>
        <v/>
      </c>
      <c r="C32" s="24">
        <f>'Valuation'!$G$9</f>
        <v/>
      </c>
      <c r="D32" s="24">
        <f>'Valuation'!$G$9</f>
        <v/>
      </c>
      <c r="E32" s="24">
        <f>'Valuation'!$G$9</f>
        <v/>
      </c>
      <c r="F32" s="24">
        <f>'Valuation'!$G$9</f>
        <v/>
      </c>
      <c r="G32" s="24">
        <f>'Valuation'!$G$9</f>
        <v/>
      </c>
    </row>
    <row r="33">
      <c r="A33" s="27" t="n">
        <v>2030</v>
      </c>
      <c r="B33" s="24">
        <f>'Valuation'!$G$10</f>
        <v/>
      </c>
      <c r="C33" s="24">
        <f>'Valuation'!$G$10</f>
        <v/>
      </c>
      <c r="D33" s="24">
        <f>'Valuation'!$G$10</f>
        <v/>
      </c>
      <c r="E33" s="24">
        <f>'Valuation'!$G$10</f>
        <v/>
      </c>
      <c r="F33" s="24">
        <f>'Valuation'!$G$10</f>
        <v/>
      </c>
      <c r="G33" s="24">
        <f>'Valuation'!$G$10</f>
        <v/>
      </c>
    </row>
    <row r="34">
      <c r="A34" s="27" t="n">
        <v>2031</v>
      </c>
      <c r="B34" s="24">
        <f>'Valuation'!$G$11</f>
        <v/>
      </c>
      <c r="C34" s="24">
        <f>'Valuation'!$G$11</f>
        <v/>
      </c>
      <c r="D34" s="24">
        <f>'Valuation'!$G$11</f>
        <v/>
      </c>
      <c r="E34" s="24">
        <f>'Valuation'!$G$11</f>
        <v/>
      </c>
      <c r="F34" s="24">
        <f>'Valuation'!$G$11</f>
        <v/>
      </c>
      <c r="G34" s="24">
        <f>'Valuation'!$G$11</f>
        <v/>
      </c>
    </row>
    <row r="35">
      <c r="A35" s="27" t="n">
        <v>2032</v>
      </c>
      <c r="B35" s="24">
        <f>'Valuation'!$G$12</f>
        <v/>
      </c>
      <c r="C35" s="24">
        <f>'Valuation'!$G$12</f>
        <v/>
      </c>
      <c r="D35" s="24">
        <f>'Valuation'!$G$12</f>
        <v/>
      </c>
      <c r="E35" s="24">
        <f>'Valuation'!$G$12</f>
        <v/>
      </c>
      <c r="F35" s="24">
        <f>'Valuation'!$G$12</f>
        <v/>
      </c>
      <c r="G35" s="24">
        <f>'Valuation'!$G$12</f>
        <v/>
      </c>
    </row>
    <row r="36">
      <c r="A36" s="27" t="n">
        <v>2033</v>
      </c>
      <c r="B36" s="24">
        <f>'Valuation'!$G$13</f>
        <v/>
      </c>
      <c r="C36" s="24">
        <f>'Valuation'!$G$13</f>
        <v/>
      </c>
      <c r="D36" s="24">
        <f>'Valuation'!$G$13</f>
        <v/>
      </c>
      <c r="E36" s="24">
        <f>'Valuation'!$G$13</f>
        <v/>
      </c>
      <c r="F36" s="24">
        <f>'Valuation'!$G$13</f>
        <v/>
      </c>
      <c r="G36" s="24">
        <f>'Valuation'!$G$13</f>
        <v/>
      </c>
    </row>
    <row r="37">
      <c r="A37" s="27" t="n">
        <v>2034</v>
      </c>
      <c r="B37" s="24">
        <f>'Valuation'!$G$14</f>
        <v/>
      </c>
      <c r="C37" s="24">
        <f>'Valuation'!$G$14</f>
        <v/>
      </c>
      <c r="D37" s="24">
        <f>'Valuation'!$G$14</f>
        <v/>
      </c>
      <c r="E37" s="24">
        <f>'Valuation'!$G$14</f>
        <v/>
      </c>
      <c r="F37" s="24">
        <f>'Valuation'!$G$14</f>
        <v/>
      </c>
      <c r="G37" s="24">
        <f>'Valuation'!$G$14</f>
        <v/>
      </c>
    </row>
    <row r="38">
      <c r="A38" s="27" t="n">
        <v>2035</v>
      </c>
      <c r="B38" s="24">
        <f>'Valuation'!$G$15</f>
        <v/>
      </c>
      <c r="C38" s="24">
        <f>'Valuation'!$G$15</f>
        <v/>
      </c>
      <c r="D38" s="24">
        <f>'Valuation'!$G$15</f>
        <v/>
      </c>
      <c r="E38" s="24">
        <f>'Valuation'!$G$15</f>
        <v/>
      </c>
      <c r="F38" s="24">
        <f>'Valuation'!$G$15</f>
        <v/>
      </c>
      <c r="G38" s="24">
        <f>'Valuation'!$G$15</f>
        <v/>
      </c>
    </row>
    <row r="39">
      <c r="A39" s="27" t="n">
        <v>2036</v>
      </c>
      <c r="B39" s="24">
        <f>'Valuation'!$G$16</f>
        <v/>
      </c>
      <c r="C39" s="24">
        <f>'Valuation'!$G$16</f>
        <v/>
      </c>
      <c r="D39" s="24">
        <f>'Valuation'!$G$16</f>
        <v/>
      </c>
      <c r="E39" s="24">
        <f>'Valuation'!$G$16</f>
        <v/>
      </c>
      <c r="F39" s="24">
        <f>'Valuation'!$G$16</f>
        <v/>
      </c>
      <c r="G39" s="24">
        <f>'Valuation'!$G$16</f>
        <v/>
      </c>
    </row>
    <row r="40">
      <c r="A40" s="27" t="n">
        <v>2037</v>
      </c>
      <c r="B40" s="24">
        <f>'Valuation'!$G$17</f>
        <v/>
      </c>
      <c r="C40" s="24">
        <f>'Valuation'!$G$17</f>
        <v/>
      </c>
      <c r="D40" s="24">
        <f>'Valuation'!$G$17</f>
        <v/>
      </c>
      <c r="E40" s="24">
        <f>'Valuation'!$G$17</f>
        <v/>
      </c>
      <c r="F40" s="24">
        <f>'Valuation'!$G$17</f>
        <v/>
      </c>
      <c r="G40" s="24">
        <f>'Valuation'!$G$17</f>
        <v/>
      </c>
    </row>
    <row r="41">
      <c r="A41" s="27" t="n">
        <v>2038</v>
      </c>
      <c r="B41" s="24">
        <f>'Valuation'!$G$18</f>
        <v/>
      </c>
      <c r="C41" s="24">
        <f>'Valuation'!$G$18</f>
        <v/>
      </c>
      <c r="D41" s="24">
        <f>'Valuation'!$G$18</f>
        <v/>
      </c>
      <c r="E41" s="24">
        <f>'Valuation'!$G$18</f>
        <v/>
      </c>
      <c r="F41" s="24">
        <f>'Valuation'!$G$18</f>
        <v/>
      </c>
      <c r="G41" s="24">
        <f>'Valuation'!$G$18</f>
        <v/>
      </c>
    </row>
    <row r="42">
      <c r="A42" s="27" t="n">
        <v>2039</v>
      </c>
      <c r="B42" s="24">
        <f>'Valuation'!$G$19</f>
        <v/>
      </c>
      <c r="C42" s="24">
        <f>'Valuation'!$G$19</f>
        <v/>
      </c>
      <c r="D42" s="24">
        <f>'Valuation'!$G$19</f>
        <v/>
      </c>
      <c r="E42" s="24">
        <f>'Valuation'!$G$19</f>
        <v/>
      </c>
      <c r="F42" s="24">
        <f>'Valuation'!$G$19</f>
        <v/>
      </c>
      <c r="G42" s="24">
        <f>'Valuation'!$G$19</f>
        <v/>
      </c>
    </row>
    <row r="43">
      <c r="A43" s="27" t="n">
        <v>2040</v>
      </c>
      <c r="B43" s="24">
        <f>'Valuation'!$G$20</f>
        <v/>
      </c>
      <c r="C43" s="24">
        <f>'Valuation'!$G$20</f>
        <v/>
      </c>
      <c r="D43" s="24">
        <f>'Valuation'!$G$20</f>
        <v/>
      </c>
      <c r="E43" s="24">
        <f>'Valuation'!$G$20</f>
        <v/>
      </c>
      <c r="F43" s="24">
        <f>'Valuation'!$G$20</f>
        <v/>
      </c>
      <c r="G43" s="24">
        <f>'Valuation'!$G$20</f>
        <v/>
      </c>
    </row>
    <row r="44">
      <c r="A44" s="27" t="n">
        <v>2041</v>
      </c>
      <c r="B44" s="24">
        <f>'Valuation'!$G$21</f>
        <v/>
      </c>
      <c r="C44" s="24">
        <f>'Valuation'!$G$21</f>
        <v/>
      </c>
      <c r="D44" s="24">
        <f>'Valuation'!$G$21</f>
        <v/>
      </c>
      <c r="E44" s="24">
        <f>'Valuation'!$G$21</f>
        <v/>
      </c>
      <c r="F44" s="24">
        <f>'Valuation'!$G$21</f>
        <v/>
      </c>
      <c r="G44" s="24">
        <f>'Valuation'!$G$21</f>
        <v/>
      </c>
    </row>
    <row r="45">
      <c r="A45" s="27" t="n">
        <v>2042</v>
      </c>
      <c r="B45" s="24">
        <f>'Valuation'!$G$22</f>
        <v/>
      </c>
      <c r="C45" s="24">
        <f>'Valuation'!$G$22</f>
        <v/>
      </c>
      <c r="D45" s="24">
        <f>'Valuation'!$G$22</f>
        <v/>
      </c>
      <c r="E45" s="24">
        <f>'Valuation'!$G$22</f>
        <v/>
      </c>
      <c r="F45" s="24">
        <f>'Valuation'!$G$22</f>
        <v/>
      </c>
      <c r="G45" s="24">
        <f>'Valuation'!$G$22</f>
        <v/>
      </c>
    </row>
    <row r="46">
      <c r="A46" s="27" t="n">
        <v>2043</v>
      </c>
      <c r="B46" s="24">
        <f>'Valuation'!$G$23</f>
        <v/>
      </c>
      <c r="C46" s="24">
        <f>'Valuation'!$G$23</f>
        <v/>
      </c>
      <c r="D46" s="24">
        <f>'Valuation'!$G$23</f>
        <v/>
      </c>
      <c r="E46" s="24">
        <f>'Valuation'!$G$23</f>
        <v/>
      </c>
      <c r="F46" s="24">
        <f>'Valuation'!$G$23</f>
        <v/>
      </c>
      <c r="G46" s="24">
        <f>'Valuation'!$G$23</f>
        <v/>
      </c>
    </row>
    <row r="47">
      <c r="A47" s="27" t="n">
        <v>2044</v>
      </c>
      <c r="B47" s="24">
        <f>'Valuation'!$G$24</f>
        <v/>
      </c>
      <c r="C47" s="24">
        <f>'Valuation'!$G$24</f>
        <v/>
      </c>
      <c r="D47" s="24">
        <f>'Valuation'!$G$24</f>
        <v/>
      </c>
      <c r="E47" s="24">
        <f>'Valuation'!$G$24</f>
        <v/>
      </c>
      <c r="F47" s="24">
        <f>'Valuation'!$G$24</f>
        <v/>
      </c>
      <c r="G47" s="24">
        <f>'Valuation'!$G$24</f>
        <v/>
      </c>
    </row>
    <row r="48">
      <c r="A48" s="27" t="n">
        <v>2045</v>
      </c>
      <c r="B48" s="24">
        <f>'Valuation'!$G$25</f>
        <v/>
      </c>
      <c r="C48" s="24">
        <f>'Valuation'!$G$25</f>
        <v/>
      </c>
      <c r="D48" s="24">
        <f>'Valuation'!$G$25</f>
        <v/>
      </c>
      <c r="E48" s="24">
        <f>'Valuation'!$G$25</f>
        <v/>
      </c>
      <c r="F48" s="24">
        <f>'Valuation'!$G$25</f>
        <v/>
      </c>
      <c r="G48" s="24">
        <f>'Valuation'!$G$25</f>
        <v/>
      </c>
    </row>
    <row r="49">
      <c r="A49" s="27" t="n">
        <v>2046</v>
      </c>
      <c r="B49" s="24">
        <f>'Valuation'!$G$26</f>
        <v/>
      </c>
      <c r="C49" s="24">
        <f>'Valuation'!$G$26</f>
        <v/>
      </c>
      <c r="D49" s="24">
        <f>'Valuation'!$G$26</f>
        <v/>
      </c>
      <c r="E49" s="24">
        <f>'Valuation'!$G$26</f>
        <v/>
      </c>
      <c r="F49" s="24">
        <f>'Valuation'!$G$26</f>
        <v/>
      </c>
      <c r="G49" s="24">
        <f>'Valuation'!$G$26</f>
        <v/>
      </c>
    </row>
    <row r="50">
      <c r="A50" s="27" t="n">
        <v>2047</v>
      </c>
      <c r="B50" s="24">
        <f>'Valuation'!$G$27</f>
        <v/>
      </c>
      <c r="C50" s="24">
        <f>'Valuation'!$G$27</f>
        <v/>
      </c>
      <c r="D50" s="24">
        <f>'Valuation'!$G$27</f>
        <v/>
      </c>
      <c r="E50" s="24">
        <f>'Valuation'!$G$27</f>
        <v/>
      </c>
      <c r="F50" s="24">
        <f>'Valuation'!$G$27</f>
        <v/>
      </c>
      <c r="G50" s="24">
        <f>'Valuation'!$G$27</f>
        <v/>
      </c>
    </row>
    <row r="51">
      <c r="A51" s="27" t="n">
        <v>2048</v>
      </c>
      <c r="B51" s="24">
        <f>'Valuation'!$G$28</f>
        <v/>
      </c>
      <c r="C51" s="24">
        <f>'Valuation'!$G$28</f>
        <v/>
      </c>
      <c r="D51" s="24">
        <f>'Valuation'!$G$28</f>
        <v/>
      </c>
      <c r="E51" s="24">
        <f>'Valuation'!$G$28</f>
        <v/>
      </c>
      <c r="F51" s="24">
        <f>'Valuation'!$G$28</f>
        <v/>
      </c>
      <c r="G51" s="24">
        <f>'Valuation'!$G$28</f>
        <v/>
      </c>
    </row>
    <row r="52">
      <c r="A52" s="27" t="n">
        <v>2049</v>
      </c>
      <c r="B52" s="24">
        <f>'Valuation'!$G$29</f>
        <v/>
      </c>
      <c r="C52" s="24">
        <f>'Valuation'!$G$29</f>
        <v/>
      </c>
      <c r="D52" s="24">
        <f>'Valuation'!$G$29</f>
        <v/>
      </c>
      <c r="E52" s="24">
        <f>'Valuation'!$G$29</f>
        <v/>
      </c>
      <c r="F52" s="24">
        <f>'Valuation'!$G$29</f>
        <v/>
      </c>
      <c r="G52" s="24">
        <f>'Valuation'!$G$29</f>
        <v/>
      </c>
    </row>
    <row r="53">
      <c r="A53" s="27" t="n">
        <v>2050</v>
      </c>
      <c r="B53" s="24">
        <f>'Valuation'!$G$30</f>
        <v/>
      </c>
      <c r="C53" s="24">
        <f>'Valuation'!$G$30</f>
        <v/>
      </c>
      <c r="D53" s="24">
        <f>'Valuation'!$G$30</f>
        <v/>
      </c>
      <c r="E53" s="24">
        <f>'Valuation'!$G$30</f>
        <v/>
      </c>
      <c r="F53" s="24">
        <f>'Valuation'!$G$30</f>
        <v/>
      </c>
      <c r="G53" s="24">
        <f>'Valuation'!$G$30</f>
        <v/>
      </c>
    </row>
    <row r="54">
      <c r="A54" s="27" t="n">
        <v>2051</v>
      </c>
      <c r="B54" s="24">
        <f>'Valuation'!$G$31</f>
        <v/>
      </c>
      <c r="C54" s="24">
        <f>'Valuation'!$G$31</f>
        <v/>
      </c>
      <c r="D54" s="24">
        <f>'Valuation'!$G$31</f>
        <v/>
      </c>
      <c r="E54" s="24">
        <f>'Valuation'!$G$31</f>
        <v/>
      </c>
      <c r="F54" s="24">
        <f>'Valuation'!$G$31</f>
        <v/>
      </c>
      <c r="G54" s="24">
        <f>'Valuation'!$G$31</f>
        <v/>
      </c>
    </row>
    <row r="55">
      <c r="A55" s="27" t="n">
        <v>2052</v>
      </c>
      <c r="B55" s="24">
        <f>'Valuation'!$G$32</f>
        <v/>
      </c>
      <c r="C55" s="24">
        <f>'Valuation'!$G$32</f>
        <v/>
      </c>
      <c r="D55" s="24">
        <f>'Valuation'!$G$32</f>
        <v/>
      </c>
      <c r="E55" s="24">
        <f>'Valuation'!$G$32</f>
        <v/>
      </c>
      <c r="F55" s="24">
        <f>'Valuation'!$G$32</f>
        <v/>
      </c>
      <c r="G55" s="24">
        <f>'Valuation'!$G$32</f>
        <v/>
      </c>
    </row>
    <row r="56">
      <c r="A56" s="27" t="n">
        <v>2053</v>
      </c>
      <c r="B56" s="24">
        <f>'Valuation'!$G$33</f>
        <v/>
      </c>
      <c r="C56" s="24">
        <f>'Valuation'!$G$33</f>
        <v/>
      </c>
      <c r="D56" s="24">
        <f>'Valuation'!$G$33</f>
        <v/>
      </c>
      <c r="E56" s="24">
        <f>'Valuation'!$G$33</f>
        <v/>
      </c>
      <c r="F56" s="24">
        <f>'Valuation'!$G$33</f>
        <v/>
      </c>
      <c r="G56" s="24">
        <f>'Valuation'!$G$33</f>
        <v/>
      </c>
    </row>
    <row r="57">
      <c r="A57" s="27" t="n">
        <v>2054</v>
      </c>
      <c r="B57" s="24">
        <f>'Valuation'!$G$34</f>
        <v/>
      </c>
      <c r="C57" s="24">
        <f>'Valuation'!$G$34</f>
        <v/>
      </c>
      <c r="D57" s="24">
        <f>'Valuation'!$G$34</f>
        <v/>
      </c>
      <c r="E57" s="24">
        <f>'Valuation'!$G$34</f>
        <v/>
      </c>
      <c r="F57" s="24">
        <f>'Valuation'!$G$34</f>
        <v/>
      </c>
      <c r="G57" s="24">
        <f>'Valuation'!$G$34</f>
        <v/>
      </c>
    </row>
    <row r="58">
      <c r="A58" s="27" t="n">
        <v>2055</v>
      </c>
      <c r="B58" s="24">
        <f>'Valuation'!$G$35</f>
        <v/>
      </c>
      <c r="C58" s="24">
        <f>'Valuation'!$G$35</f>
        <v/>
      </c>
      <c r="D58" s="24">
        <f>'Valuation'!$G$35</f>
        <v/>
      </c>
      <c r="E58" s="24">
        <f>'Valuation'!$G$35</f>
        <v/>
      </c>
      <c r="F58" s="24">
        <f>'Valuation'!$G$35</f>
        <v/>
      </c>
      <c r="G58" s="24">
        <f>'Valuation'!$G$35</f>
        <v/>
      </c>
    </row>
    <row r="59">
      <c r="A59" s="27" t="n">
        <v>2056</v>
      </c>
      <c r="B59" s="24">
        <f>'Valuation'!$G$36</f>
        <v/>
      </c>
      <c r="C59" s="24">
        <f>'Valuation'!$G$36</f>
        <v/>
      </c>
      <c r="D59" s="24">
        <f>'Valuation'!$G$36</f>
        <v/>
      </c>
      <c r="E59" s="24">
        <f>'Valuation'!$G$36</f>
        <v/>
      </c>
      <c r="F59" s="24">
        <f>'Valuation'!$G$36</f>
        <v/>
      </c>
      <c r="G59" s="24">
        <f>'Valuation'!$G$36</f>
        <v/>
      </c>
    </row>
    <row r="60">
      <c r="A60" s="27" t="n">
        <v>2057</v>
      </c>
      <c r="B60" s="24">
        <f>'Valuation'!$G$37</f>
        <v/>
      </c>
      <c r="C60" s="24">
        <f>'Valuation'!$G$37</f>
        <v/>
      </c>
      <c r="D60" s="24">
        <f>'Valuation'!$G$37</f>
        <v/>
      </c>
      <c r="E60" s="24">
        <f>'Valuation'!$G$37</f>
        <v/>
      </c>
      <c r="F60" s="24">
        <f>'Valuation'!$G$37</f>
        <v/>
      </c>
      <c r="G60" s="24">
        <f>'Valuation'!$G$37</f>
        <v/>
      </c>
    </row>
    <row r="61">
      <c r="A61" s="27" t="n">
        <v>2058</v>
      </c>
      <c r="B61" s="24">
        <f>'Valuation'!$G$38</f>
        <v/>
      </c>
      <c r="C61" s="24">
        <f>'Valuation'!$G$38</f>
        <v/>
      </c>
      <c r="D61" s="24">
        <f>'Valuation'!$G$38</f>
        <v/>
      </c>
      <c r="E61" s="24">
        <f>'Valuation'!$G$38</f>
        <v/>
      </c>
      <c r="F61" s="24">
        <f>'Valuation'!$G$38</f>
        <v/>
      </c>
      <c r="G61" s="24">
        <f>'Valuation'!$G$38</f>
        <v/>
      </c>
    </row>
    <row r="62">
      <c r="A62" s="27" t="n">
        <v>2059</v>
      </c>
      <c r="B62" s="24">
        <f>'Valuation'!$G$39</f>
        <v/>
      </c>
      <c r="C62" s="24">
        <f>'Valuation'!$G$39</f>
        <v/>
      </c>
      <c r="D62" s="24">
        <f>'Valuation'!$G$39</f>
        <v/>
      </c>
      <c r="E62" s="24">
        <f>'Valuation'!$G$39</f>
        <v/>
      </c>
      <c r="F62" s="24">
        <f>'Valuation'!$G$39</f>
        <v/>
      </c>
      <c r="G62" s="24">
        <f>'Valuation'!$G$39</f>
        <v/>
      </c>
    </row>
    <row r="63">
      <c r="A63" s="27" t="n">
        <v>2060</v>
      </c>
      <c r="B63" s="24">
        <f>'Valuation'!$G$40</f>
        <v/>
      </c>
      <c r="C63" s="24">
        <f>'Valuation'!$G$40</f>
        <v/>
      </c>
      <c r="D63" s="24">
        <f>'Valuation'!$G$40</f>
        <v/>
      </c>
      <c r="E63" s="24">
        <f>'Valuation'!$G$40</f>
        <v/>
      </c>
      <c r="F63" s="24">
        <f>'Valuation'!$G$40</f>
        <v/>
      </c>
      <c r="G63" s="24">
        <f>'Valuation'!$G$40</f>
        <v/>
      </c>
    </row>
    <row r="64">
      <c r="A64" s="27" t="n">
        <v>2061</v>
      </c>
      <c r="B64" s="24">
        <f>'Valuation'!$G$41</f>
        <v/>
      </c>
      <c r="C64" s="24">
        <f>'Valuation'!$G$41</f>
        <v/>
      </c>
      <c r="D64" s="24">
        <f>'Valuation'!$G$41</f>
        <v/>
      </c>
      <c r="E64" s="24">
        <f>'Valuation'!$G$41</f>
        <v/>
      </c>
      <c r="F64" s="24">
        <f>'Valuation'!$G$41</f>
        <v/>
      </c>
      <c r="G64" s="24">
        <f>'Valuation'!$G$41</f>
        <v/>
      </c>
    </row>
    <row r="65">
      <c r="A65" s="27" t="n">
        <v>2062</v>
      </c>
      <c r="B65" s="24">
        <f>'Valuation'!$G$42</f>
        <v/>
      </c>
      <c r="C65" s="24">
        <f>'Valuation'!$G$42</f>
        <v/>
      </c>
      <c r="D65" s="24">
        <f>'Valuation'!$G$42</f>
        <v/>
      </c>
      <c r="E65" s="24">
        <f>'Valuation'!$G$42</f>
        <v/>
      </c>
      <c r="F65" s="24">
        <f>'Valuation'!$G$42</f>
        <v/>
      </c>
      <c r="G65" s="24">
        <f>'Valuation'!$G$42</f>
        <v/>
      </c>
    </row>
    <row r="66">
      <c r="A66" s="27" t="n">
        <v>2063</v>
      </c>
      <c r="B66" s="24">
        <f>'Valuation'!$G$43</f>
        <v/>
      </c>
      <c r="C66" s="24">
        <f>'Valuation'!$G$43</f>
        <v/>
      </c>
      <c r="D66" s="24">
        <f>'Valuation'!$G$43</f>
        <v/>
      </c>
      <c r="E66" s="24">
        <f>'Valuation'!$G$43</f>
        <v/>
      </c>
      <c r="F66" s="24">
        <f>'Valuation'!$G$43</f>
        <v/>
      </c>
      <c r="G66" s="24">
        <f>'Valuation'!$G$43</f>
        <v/>
      </c>
    </row>
    <row r="67">
      <c r="A67" s="27" t="n">
        <v>2064</v>
      </c>
      <c r="B67" s="24">
        <f>'Valuation'!$G$44</f>
        <v/>
      </c>
      <c r="C67" s="24">
        <f>'Valuation'!$G$44</f>
        <v/>
      </c>
      <c r="D67" s="24">
        <f>'Valuation'!$G$44</f>
        <v/>
      </c>
      <c r="E67" s="24">
        <f>'Valuation'!$G$44</f>
        <v/>
      </c>
      <c r="F67" s="24">
        <f>'Valuation'!$G$44</f>
        <v/>
      </c>
      <c r="G67" s="24">
        <f>'Valuation'!$G$44</f>
        <v/>
      </c>
    </row>
    <row r="68">
      <c r="A68" s="27" t="n">
        <v>2065</v>
      </c>
      <c r="B68" s="24">
        <f>'Valuation'!$G$45</f>
        <v/>
      </c>
      <c r="C68" s="24">
        <f>'Valuation'!$G$45</f>
        <v/>
      </c>
      <c r="D68" s="24">
        <f>'Valuation'!$G$45</f>
        <v/>
      </c>
      <c r="E68" s="24">
        <f>'Valuation'!$G$45</f>
        <v/>
      </c>
      <c r="F68" s="24">
        <f>'Valuation'!$G$45</f>
        <v/>
      </c>
      <c r="G68" s="24">
        <f>'Valuation'!$G$45</f>
        <v/>
      </c>
    </row>
    <row r="69">
      <c r="A69" s="27" t="n">
        <v>2066</v>
      </c>
      <c r="B69" s="24">
        <f>'Valuation'!$G$46</f>
        <v/>
      </c>
      <c r="C69" s="24">
        <f>'Valuation'!$G$46</f>
        <v/>
      </c>
      <c r="D69" s="24">
        <f>'Valuation'!$G$46</f>
        <v/>
      </c>
      <c r="E69" s="24">
        <f>'Valuation'!$G$46</f>
        <v/>
      </c>
      <c r="F69" s="24">
        <f>'Valuation'!$G$46</f>
        <v/>
      </c>
      <c r="G69" s="24">
        <f>'Valuation'!$G$46</f>
        <v/>
      </c>
    </row>
    <row r="70">
      <c r="A70" s="27" t="n">
        <v>2067</v>
      </c>
      <c r="B70" s="24">
        <f>'Valuation'!$G$47</f>
        <v/>
      </c>
      <c r="C70" s="24">
        <f>'Valuation'!$G$47</f>
        <v/>
      </c>
      <c r="D70" s="24">
        <f>'Valuation'!$G$47</f>
        <v/>
      </c>
      <c r="E70" s="24">
        <f>'Valuation'!$G$47</f>
        <v/>
      </c>
      <c r="F70" s="24">
        <f>'Valuation'!$G$47</f>
        <v/>
      </c>
      <c r="G70" s="24">
        <f>'Valuation'!$G$47</f>
        <v/>
      </c>
    </row>
    <row r="71">
      <c r="A71" s="27" t="n">
        <v>2068</v>
      </c>
      <c r="B71" s="24">
        <f>'Valuation'!$G$48</f>
        <v/>
      </c>
      <c r="C71" s="24">
        <f>'Valuation'!$G$48</f>
        <v/>
      </c>
      <c r="D71" s="24">
        <f>'Valuation'!$G$48</f>
        <v/>
      </c>
      <c r="E71" s="24">
        <f>'Valuation'!$G$48</f>
        <v/>
      </c>
      <c r="F71" s="24">
        <f>'Valuation'!$G$48</f>
        <v/>
      </c>
      <c r="G71" s="24">
        <f>'Valuation'!$G$48</f>
        <v/>
      </c>
    </row>
    <row r="72">
      <c r="A72" s="27" t="n">
        <v>2069</v>
      </c>
      <c r="B72" s="24">
        <f>'Valuation'!$G$49</f>
        <v/>
      </c>
      <c r="C72" s="24">
        <f>'Valuation'!$G$49</f>
        <v/>
      </c>
      <c r="D72" s="24">
        <f>'Valuation'!$G$49</f>
        <v/>
      </c>
      <c r="E72" s="24">
        <f>'Valuation'!$G$49</f>
        <v/>
      </c>
      <c r="F72" s="24">
        <f>'Valuation'!$G$49</f>
        <v/>
      </c>
      <c r="G72" s="24">
        <f>'Valuation'!$G$49</f>
        <v/>
      </c>
    </row>
    <row r="73">
      <c r="A73" s="27" t="n">
        <v>2070</v>
      </c>
      <c r="B73" s="24">
        <f>'Valuation'!$G$50</f>
        <v/>
      </c>
      <c r="C73" s="24">
        <f>'Valuation'!$G$50</f>
        <v/>
      </c>
      <c r="D73" s="24">
        <f>'Valuation'!$G$50</f>
        <v/>
      </c>
      <c r="E73" s="24">
        <f>'Valuation'!$G$50</f>
        <v/>
      </c>
      <c r="F73" s="24">
        <f>'Valuation'!$G$50</f>
        <v/>
      </c>
      <c r="G73" s="24">
        <f>'Valuation'!$G$50</f>
        <v/>
      </c>
    </row>
    <row r="74">
      <c r="A74" s="27" t="n">
        <v>2071</v>
      </c>
      <c r="B74" s="24">
        <f>'Valuation'!$G$51</f>
        <v/>
      </c>
      <c r="C74" s="24">
        <f>'Valuation'!$G$51</f>
        <v/>
      </c>
      <c r="D74" s="24">
        <f>'Valuation'!$G$51</f>
        <v/>
      </c>
      <c r="E74" s="24">
        <f>'Valuation'!$G$51</f>
        <v/>
      </c>
      <c r="F74" s="24">
        <f>'Valuation'!$G$51</f>
        <v/>
      </c>
      <c r="G74" s="24">
        <f>'Valuation'!$G$51</f>
        <v/>
      </c>
    </row>
    <row r="75">
      <c r="A75" s="27" t="n">
        <v>2072</v>
      </c>
      <c r="B75" s="24">
        <f>'Valuation'!$G$52</f>
        <v/>
      </c>
      <c r="C75" s="24">
        <f>'Valuation'!$G$52</f>
        <v/>
      </c>
      <c r="D75" s="24">
        <f>'Valuation'!$G$52</f>
        <v/>
      </c>
      <c r="E75" s="24">
        <f>'Valuation'!$G$52</f>
        <v/>
      </c>
      <c r="F75" s="24">
        <f>'Valuation'!$G$52</f>
        <v/>
      </c>
      <c r="G75" s="24">
        <f>'Valuation'!$G$52</f>
        <v/>
      </c>
    </row>
    <row r="76">
      <c r="A76" s="27" t="n">
        <v>2073</v>
      </c>
      <c r="B76" s="24">
        <f>'Valuation'!$G$53</f>
        <v/>
      </c>
      <c r="C76" s="24">
        <f>'Valuation'!$G$53</f>
        <v/>
      </c>
      <c r="D76" s="24">
        <f>'Valuation'!$G$53</f>
        <v/>
      </c>
      <c r="E76" s="24">
        <f>'Valuation'!$G$53</f>
        <v/>
      </c>
      <c r="F76" s="24">
        <f>'Valuation'!$G$53</f>
        <v/>
      </c>
      <c r="G76" s="24">
        <f>'Valuation'!$G$53</f>
        <v/>
      </c>
    </row>
    <row r="77">
      <c r="A77" s="27" t="n">
        <v>2074</v>
      </c>
      <c r="B77" s="24">
        <f>'Valuation'!$G$54</f>
        <v/>
      </c>
      <c r="C77" s="24">
        <f>'Valuation'!$G$54</f>
        <v/>
      </c>
      <c r="D77" s="24">
        <f>'Valuation'!$G$54</f>
        <v/>
      </c>
      <c r="E77" s="24">
        <f>'Valuation'!$G$54</f>
        <v/>
      </c>
      <c r="F77" s="24">
        <f>'Valuation'!$G$54</f>
        <v/>
      </c>
      <c r="G77" s="24">
        <f>'Valuation'!$G$54</f>
        <v/>
      </c>
    </row>
    <row r="78">
      <c r="A78" s="27" t="n">
        <v>2075</v>
      </c>
      <c r="B78" s="24">
        <f>'Valuation'!$G$55</f>
        <v/>
      </c>
      <c r="C78" s="24">
        <f>'Valuation'!$G$55</f>
        <v/>
      </c>
      <c r="D78" s="24">
        <f>'Valuation'!$G$55</f>
        <v/>
      </c>
      <c r="E78" s="24">
        <f>'Valuation'!$G$55</f>
        <v/>
      </c>
      <c r="F78" s="24">
        <f>'Valuation'!$G$55</f>
        <v/>
      </c>
      <c r="G78" s="24">
        <f>'Valuation'!$G$55</f>
        <v/>
      </c>
    </row>
    <row r="79">
      <c r="A79" s="27" t="n">
        <v>2076</v>
      </c>
      <c r="B79" s="24">
        <f>'Valuation'!$G$56</f>
        <v/>
      </c>
      <c r="C79" s="24">
        <f>'Valuation'!$G$56</f>
        <v/>
      </c>
      <c r="D79" s="24">
        <f>'Valuation'!$G$56</f>
        <v/>
      </c>
      <c r="E79" s="24">
        <f>'Valuation'!$G$56</f>
        <v/>
      </c>
      <c r="F79" s="24">
        <f>'Valuation'!$G$56</f>
        <v/>
      </c>
      <c r="G79" s="24">
        <f>'Valuation'!$G$56</f>
        <v/>
      </c>
    </row>
    <row r="80">
      <c r="A80" s="27" t="n">
        <v>2077</v>
      </c>
      <c r="B80" s="24">
        <f>'Valuation'!$G$57</f>
        <v/>
      </c>
      <c r="C80" s="24">
        <f>'Valuation'!$G$57</f>
        <v/>
      </c>
      <c r="D80" s="24">
        <f>'Valuation'!$G$57</f>
        <v/>
      </c>
      <c r="E80" s="24">
        <f>'Valuation'!$G$57</f>
        <v/>
      </c>
      <c r="F80" s="24">
        <f>'Valuation'!$G$57</f>
        <v/>
      </c>
      <c r="G80" s="24">
        <f>'Valuation'!$G$57</f>
        <v/>
      </c>
    </row>
    <row r="81">
      <c r="A81" s="27" t="n">
        <v>2078</v>
      </c>
      <c r="B81" s="24">
        <f>'Valuation'!$G$58</f>
        <v/>
      </c>
      <c r="C81" s="24">
        <f>'Valuation'!$G$58</f>
        <v/>
      </c>
      <c r="D81" s="24">
        <f>'Valuation'!$G$58</f>
        <v/>
      </c>
      <c r="E81" s="24">
        <f>'Valuation'!$G$58</f>
        <v/>
      </c>
      <c r="F81" s="24">
        <f>'Valuation'!$G$58</f>
        <v/>
      </c>
      <c r="G81" s="24">
        <f>'Valuation'!$G$58</f>
        <v/>
      </c>
    </row>
    <row r="82">
      <c r="A82" s="27" t="n">
        <v>2079</v>
      </c>
      <c r="B82" s="24">
        <f>'Valuation'!$G$59</f>
        <v/>
      </c>
      <c r="C82" s="24">
        <f>'Valuation'!$G$59</f>
        <v/>
      </c>
      <c r="D82" s="24">
        <f>'Valuation'!$G$59</f>
        <v/>
      </c>
      <c r="E82" s="24">
        <f>'Valuation'!$G$59</f>
        <v/>
      </c>
      <c r="F82" s="24">
        <f>'Valuation'!$G$59</f>
        <v/>
      </c>
      <c r="G82" s="24">
        <f>'Valuation'!$G$59</f>
        <v/>
      </c>
    </row>
    <row r="83">
      <c r="A83" s="27" t="n">
        <v>2080</v>
      </c>
      <c r="B83" s="24">
        <f>'Valuation'!$G$60</f>
        <v/>
      </c>
      <c r="C83" s="24">
        <f>'Valuation'!$G$60</f>
        <v/>
      </c>
      <c r="D83" s="24">
        <f>'Valuation'!$G$60</f>
        <v/>
      </c>
      <c r="E83" s="24">
        <f>'Valuation'!$G$60</f>
        <v/>
      </c>
      <c r="F83" s="24">
        <f>'Valuation'!$G$60</f>
        <v/>
      </c>
      <c r="G83" s="24">
        <f>'Valuation'!$G$60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2026-08-01T13:28:06Z</dcterms:created>
  <dcterms:modified xsi:type="dcterms:W3CDTF">2026-08-01T13:28:06Z</dcterms:modified>
</cp:coreProperties>
</file>