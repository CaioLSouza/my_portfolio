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inel" sheetId="2" state="visible" r:id="rId2"/>
    <sheet name="Calc" sheetId="3" state="visible" r:id="rId3"/>
  </sheets>
  <definedNames>
    <definedName name="Idx">Painel!$C$6</definedName>
    <definedName name="AsOf">Painel!$C$7</definedName>
    <definedName name="Ccy">Painel!$C$8</definedName>
    <definedName name="EBITDA_act">Painel!$C$12</definedName>
    <definedName name="EBITDA_est">Painel!$D$12</definedName>
    <definedName name="EPS_act">Painel!$C$13</definedName>
    <definedName name="EPS_est">Painel!$D$13</definedName>
    <definedName name="Sales_act">Painel!$C$14</definedName>
    <definedName name="Sales_est">Painel!$D$14</definedName>
    <definedName name="ovAct">Painel!$C$16</definedName>
    <definedName name="ovEst">Painel!$C$17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343436"/>
      <sz val="15"/>
    </font>
    <font>
      <i val="1"/>
      <color rgb="007E7E7E"/>
      <sz val="10"/>
    </font>
    <font>
      <b val="1"/>
      <color rgb="00343436"/>
      <sz val="12"/>
    </font>
    <font>
      <b val="1"/>
      <color rgb="00343436"/>
    </font>
    <font>
      <b val="1"/>
      <color rgb="00FFFFFF"/>
    </font>
    <font>
      <b val="1"/>
    </font>
    <font>
      <color rgb="007E7E7E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34343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165" fontId="0" fillId="0" borderId="1" applyAlignment="1" pivotButton="0" quotePrefix="0" xfId="0">
      <alignment horizontal="center"/>
    </xf>
    <xf numFmtId="0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Ibovespa — Crescimento YoY (EBITDA / EPS / Sales)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'Painel'!B22</f>
            </strRef>
          </tx>
          <spPr>
            <a:solidFill>
              <a:srgbClr val="9DC3E6"/>
            </a:solidFill>
            <a:ln>
              <a:noFill/>
              <a:prstDash val="solid"/>
            </a:ln>
          </spPr>
          <cat>
            <numRef>
              <f>'Painel'!$C$21:$G$21</f>
            </numRef>
          </cat>
          <val>
            <numRef>
              <f>'Painel'!$C$22:$G$22</f>
            </numRef>
          </val>
        </ser>
        <ser>
          <idx val="1"/>
          <order val="1"/>
          <tx>
            <strRef>
              <f>'Painel'!B23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cat>
            <numRef>
              <f>'Painel'!$C$21:$G$21</f>
            </numRef>
          </cat>
          <val>
            <numRef>
              <f>'Painel'!$C$23:$G$23</f>
            </numRef>
          </val>
        </ser>
        <ser>
          <idx val="2"/>
          <order val="2"/>
          <tx>
            <strRef>
              <f>'Painel'!B24</f>
            </strRef>
          </tx>
          <spPr>
            <a:solidFill>
              <a:srgbClr val="8B9A83"/>
            </a:solidFill>
            <a:ln>
              <a:noFill/>
              <a:prstDash val="solid"/>
            </a:ln>
          </spPr>
          <cat>
            <numRef>
              <f>'Painel'!$C$21:$G$21</f>
            </numRef>
          </cat>
          <val>
            <numRef>
              <f>'Painel'!$C$24:$G$24</f>
            </numRef>
          </val>
        </ser>
        <dLbls>
          <numFmt formatCode="0.0%"/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2" customWidth="1" min="2" max="2"/>
  </cols>
  <sheetData>
    <row r="2">
      <c r="B2" s="1" t="inlineStr">
        <is>
          <t>Ibovespa — Crescimento YoY (EBITDA / EPS / Sales) — Bloomberg</t>
        </is>
      </c>
    </row>
    <row r="3">
      <c r="B3" t="inlineStr"/>
    </row>
    <row r="4">
      <c r="B4" s="2" t="inlineStr">
        <is>
          <t>O que faz</t>
        </is>
      </c>
    </row>
    <row r="5">
      <c r="B5" t="inlineStr">
        <is>
          <t>Monta 5 trimestres em janela ROLLING a partir da 'Data de referência' (Painel!C7 = TODAY() por padrão).</t>
        </is>
      </c>
    </row>
    <row r="6">
      <c r="B6" t="inlineStr">
        <is>
          <t>As 4 primeiras barras usam valores REALIZADOS (actuals); a última barra é ESTIMATIVA (consenso).</t>
        </is>
      </c>
    </row>
    <row r="7">
      <c r="B7" t="inlineStr">
        <is>
          <t>Cada barra = crescimento YoY = trimestre / mesmo trimestre do ano anterior − 1, do agregado do IBOV.</t>
        </is>
      </c>
    </row>
    <row r="8">
      <c r="B8" t="inlineStr"/>
    </row>
    <row r="9">
      <c r="B9" s="2" t="inlineStr">
        <is>
          <t>Como puxa os dados (BDP com override de período)</t>
        </is>
      </c>
    </row>
    <row r="10">
      <c r="B10" t="inlineStr">
        <is>
          <t>• Actuals (barras 1–4): BDP(IBOV, campo_actual, EQY_FUND_RELATIVE_PERIOD, '-1FQ'..'-4FQ', EQY_FUND_CRNCY, moeda).</t>
        </is>
      </c>
    </row>
    <row r="11">
      <c r="B11" t="inlineStr">
        <is>
          <t>• Estimativa (barra 5): BDP(IBOV, campo_BEST, BEST_FPERIOD_OVERRIDE, '1FQ', ...).</t>
        </is>
      </c>
    </row>
    <row r="12">
      <c r="B12" t="inlineStr">
        <is>
          <t>• Denominador YoY (sempre actual): mesmos campos com período do ano anterior ('-5FQ'..'-8FQ' e '-3FQ' p/ a barra estimada).</t>
        </is>
      </c>
    </row>
    <row r="13">
      <c r="B13" t="inlineStr">
        <is>
          <t>• Tudo rola sozinho: os overrides de período são relativos e os rótulos vêm da Data de referência.</t>
        </is>
      </c>
    </row>
    <row r="14">
      <c r="B14" t="inlineStr"/>
    </row>
    <row r="15">
      <c r="B15" s="2" t="inlineStr">
        <is>
          <t>Campos (edite no Painel se quiser)</t>
        </is>
      </c>
    </row>
    <row r="16">
      <c r="B16" t="inlineStr">
        <is>
          <t>• EBITDA: actual=EBITDA / est=BEST_EBITDA | EPS: actual=IS_EPS / est=BEST_EPS | Sales: actual=SALES_REV_TURN / est=BEST_SALES.</t>
        </is>
      </c>
    </row>
    <row r="17">
      <c r="B17" t="inlineStr"/>
    </row>
    <row r="18">
      <c r="B18" s="2" t="inlineStr">
        <is>
          <t>Uso</t>
        </is>
      </c>
    </row>
    <row r="19">
      <c r="B19" t="inlineStr">
        <is>
          <t>1) Abra com o add-in Bloomberg logado. 2) Ajuste Data de referência/moeda se quiser. 3) Bloomberg → Refresh All (Ctrl+Alt+F9).</t>
        </is>
      </c>
    </row>
    <row r="20">
      <c r="B20" t="inlineStr"/>
    </row>
    <row r="21">
      <c r="B21" s="2" t="inlineStr">
        <is>
          <t>Pontos a verificar no seu ambiente (não dá para validar sem Terminal)</t>
        </is>
      </c>
    </row>
    <row r="22">
      <c r="B22" t="inlineStr">
        <is>
          <t>• Agregado do índice: confirme que BDP no IBOV Index devolve o agregado dos fundamentos (EBITDA/IS_EPS/SALES_REV_TURN).</t>
        </is>
      </c>
    </row>
    <row r="23">
      <c r="B23" t="inlineStr">
        <is>
          <t xml:space="preserve">  Se não devolver, dá para trocar por uma versão bottom-up (somando os membros via INDX_MEMBERS) — me avise que adapto.</t>
        </is>
      </c>
    </row>
    <row r="24">
      <c r="B24" t="inlineStr">
        <is>
          <t>• Tokens de período: '-1FQ','1FQ' etc. no EQY_FUND_RELATIVE_PERIOD / BEST_FPERIOD_OVERRIDE. Ajuste 'FQ'→'CQ' se preferir tri civil.</t>
        </is>
      </c>
    </row>
    <row r="25">
      <c r="B25" t="inlineStr">
        <is>
          <t>• Alinhamento do rótulo estimado: a barra 5 usa '1FQ' (próximo trimestre a reportar). Se o rótulo não bater com o período,</t>
        </is>
      </c>
    </row>
    <row r="26">
      <c r="B26" t="inlineStr">
        <is>
          <t xml:space="preserve">  mude ligeiramente a Data de referência. EPS de índice: se IS_EPS não agregar, teste TRAIL_12M_EPS/ BEST_EPS realizado.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Ibovespa — Crescimento YoY agregado (EBITDA / EPS / Sales)</t>
        </is>
      </c>
    </row>
    <row r="3">
      <c r="B3" s="3" t="inlineStr">
        <is>
          <t>Janela rolling de 5 trimestres. As 4 primeiras barras usam ACTUALS; a última é ESTIMATIVA. Dados: Bloomberg.</t>
        </is>
      </c>
    </row>
    <row r="5">
      <c r="B5" s="2" t="inlineStr">
        <is>
          <t>Parâmetros</t>
        </is>
      </c>
    </row>
    <row r="6">
      <c r="B6" s="4" t="inlineStr">
        <is>
          <t>Índice</t>
        </is>
      </c>
      <c r="C6" s="5" t="inlineStr">
        <is>
          <t>IBOV Index</t>
        </is>
      </c>
    </row>
    <row r="7">
      <c r="B7" s="4" t="inlineStr">
        <is>
          <t>Data de referência</t>
        </is>
      </c>
      <c r="C7" s="6">
        <f>TODAY()</f>
        <v/>
      </c>
    </row>
    <row r="8">
      <c r="B8" s="4" t="inlineStr">
        <is>
          <t>Moeda (EQY_FUND_CRNCY)</t>
        </is>
      </c>
      <c r="C8" s="5" t="inlineStr">
        <is>
          <t>BRL</t>
        </is>
      </c>
    </row>
    <row r="10">
      <c r="B10" s="2" t="inlineStr">
        <is>
          <t>Campos Bloomberg</t>
        </is>
      </c>
    </row>
    <row r="11">
      <c r="B11" s="7" t="inlineStr">
        <is>
          <t>Métrica</t>
        </is>
      </c>
      <c r="C11" s="7" t="inlineStr">
        <is>
          <t>Campo ACTUAL</t>
        </is>
      </c>
      <c r="D11" s="7" t="inlineStr">
        <is>
          <t>Campo ESTIMATIVA</t>
        </is>
      </c>
    </row>
    <row r="12">
      <c r="B12" s="8" t="inlineStr">
        <is>
          <t>EBITDA</t>
        </is>
      </c>
      <c r="C12" s="5" t="inlineStr">
        <is>
          <t>EBITDA</t>
        </is>
      </c>
      <c r="D12" s="5" t="inlineStr">
        <is>
          <t>BEST_EBITDA</t>
        </is>
      </c>
    </row>
    <row r="13">
      <c r="B13" s="8" t="inlineStr">
        <is>
          <t>EPS</t>
        </is>
      </c>
      <c r="C13" s="5" t="inlineStr">
        <is>
          <t>IS_EPS</t>
        </is>
      </c>
      <c r="D13" s="5" t="inlineStr">
        <is>
          <t>BEST_EPS</t>
        </is>
      </c>
    </row>
    <row r="14">
      <c r="B14" s="8" t="inlineStr">
        <is>
          <t>Sales</t>
        </is>
      </c>
      <c r="C14" s="5" t="inlineStr">
        <is>
          <t>SALES_REV_TURN</t>
        </is>
      </c>
      <c r="D14" s="5" t="inlineStr">
        <is>
          <t>BEST_SALES</t>
        </is>
      </c>
    </row>
    <row r="16">
      <c r="B16" s="4" t="inlineStr">
        <is>
          <t>Override período — ACTUAL</t>
        </is>
      </c>
      <c r="C16" s="9" t="inlineStr">
        <is>
          <t>EQY_FUND_RELATIVE_PERIOD</t>
        </is>
      </c>
    </row>
    <row r="17">
      <c r="B17" s="4" t="inlineStr">
        <is>
          <t>Override período — ESTIMATIVA</t>
        </is>
      </c>
      <c r="C17" s="9" t="inlineStr">
        <is>
          <t>BEST_FPERIOD_OVERRIDE</t>
        </is>
      </c>
    </row>
    <row r="20">
      <c r="B20" s="2" t="inlineStr">
        <is>
          <t>Crescimento YoY (%)</t>
        </is>
      </c>
    </row>
    <row r="21">
      <c r="B21" t="inlineStr"/>
      <c r="C21" s="10">
        <f>Calc!C$6</f>
        <v/>
      </c>
      <c r="D21" s="10">
        <f>Calc!D$6</f>
        <v/>
      </c>
      <c r="E21" s="10">
        <f>Calc!E$6</f>
        <v/>
      </c>
      <c r="F21" s="10">
        <f>Calc!F$6</f>
        <v/>
      </c>
      <c r="G21" s="10">
        <f>Calc!G$6</f>
        <v/>
      </c>
    </row>
    <row r="22">
      <c r="B22" s="11" t="inlineStr">
        <is>
          <t>EBITDA</t>
        </is>
      </c>
      <c r="C22" s="12">
        <f>Calc!C$13</f>
        <v/>
      </c>
      <c r="D22" s="12">
        <f>Calc!D$13</f>
        <v/>
      </c>
      <c r="E22" s="12">
        <f>Calc!E$13</f>
        <v/>
      </c>
      <c r="F22" s="12">
        <f>Calc!F$13</f>
        <v/>
      </c>
      <c r="G22" s="12">
        <f>Calc!G$13</f>
        <v/>
      </c>
    </row>
    <row r="23">
      <c r="B23" s="11" t="inlineStr">
        <is>
          <t>EPS</t>
        </is>
      </c>
      <c r="C23" s="12">
        <f>Calc!C$17</f>
        <v/>
      </c>
      <c r="D23" s="12">
        <f>Calc!D$17</f>
        <v/>
      </c>
      <c r="E23" s="12">
        <f>Calc!E$17</f>
        <v/>
      </c>
      <c r="F23" s="12">
        <f>Calc!F$17</f>
        <v/>
      </c>
      <c r="G23" s="12">
        <f>Calc!G$17</f>
        <v/>
      </c>
    </row>
    <row r="24">
      <c r="B24" s="11" t="inlineStr">
        <is>
          <t>Sales</t>
        </is>
      </c>
      <c r="C24" s="12">
        <f>Calc!C$21</f>
        <v/>
      </c>
      <c r="D24" s="12">
        <f>Calc!D$21</f>
        <v/>
      </c>
      <c r="E24" s="12">
        <f>Calc!E$21</f>
        <v/>
      </c>
      <c r="F24" s="12">
        <f>Calc!F$21</f>
        <v/>
      </c>
      <c r="G24" s="12">
        <f>Calc!G$21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Motor de cálculo (rolling). Não editar salvo necessidade.</t>
        </is>
      </c>
    </row>
    <row r="2">
      <c r="A2" s="13" t="inlineStr">
        <is>
          <t>barra (j)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</row>
    <row r="3">
      <c r="A3" s="13" t="inlineStr">
        <is>
          <t>índice trim (qi)</t>
        </is>
      </c>
      <c r="C3">
        <f>YEAR(AsOf)*4+ROUNDUP(MONTH(AsOf)/3,0)-1+(C2-5)</f>
        <v/>
      </c>
      <c r="D3">
        <f>YEAR(AsOf)*4+ROUNDUP(MONTH(AsOf)/3,0)-1+(D2-5)</f>
        <v/>
      </c>
      <c r="E3">
        <f>YEAR(AsOf)*4+ROUNDUP(MONTH(AsOf)/3,0)-1+(E2-5)</f>
        <v/>
      </c>
      <c r="F3">
        <f>YEAR(AsOf)*4+ROUNDUP(MONTH(AsOf)/3,0)-1+(F2-5)</f>
        <v/>
      </c>
      <c r="G3">
        <f>YEAR(AsOf)*4+ROUNDUP(MONTH(AsOf)/3,0)-1+(G2-5)</f>
        <v/>
      </c>
    </row>
    <row r="4">
      <c r="A4" s="13" t="inlineStr">
        <is>
          <t>ano</t>
        </is>
      </c>
      <c r="C4">
        <f>INT(C3/4)</f>
        <v/>
      </c>
      <c r="D4">
        <f>INT(D3/4)</f>
        <v/>
      </c>
      <c r="E4">
        <f>INT(E3/4)</f>
        <v/>
      </c>
      <c r="F4">
        <f>INT(F3/4)</f>
        <v/>
      </c>
      <c r="G4">
        <f>INT(G3/4)</f>
        <v/>
      </c>
    </row>
    <row r="5">
      <c r="A5" s="13" t="inlineStr">
        <is>
          <t>trim (n)</t>
        </is>
      </c>
      <c r="C5">
        <f>MOD(C3,4)+1</f>
        <v/>
      </c>
      <c r="D5">
        <f>MOD(D3,4)+1</f>
        <v/>
      </c>
      <c r="E5">
        <f>MOD(E3,4)+1</f>
        <v/>
      </c>
      <c r="F5">
        <f>MOD(F3,4)+1</f>
        <v/>
      </c>
      <c r="G5">
        <f>MOD(G3,4)+1</f>
        <v/>
      </c>
    </row>
    <row r="6">
      <c r="A6" s="13" t="inlineStr">
        <is>
          <t>rótulo</t>
        </is>
      </c>
      <c r="C6">
        <f>C5&amp;"Q"&amp;TEXT(MOD(C4,100),"00")&amp;IF(C2=5,"E","")</f>
        <v/>
      </c>
      <c r="D6">
        <f>D5&amp;"Q"&amp;TEXT(MOD(D4,100),"00")&amp;IF(D2=5,"E","")</f>
        <v/>
      </c>
      <c r="E6">
        <f>E5&amp;"Q"&amp;TEXT(MOD(E4,100),"00")&amp;IF(E2=5,"E","")</f>
        <v/>
      </c>
      <c r="F6">
        <f>F5&amp;"Q"&amp;TEXT(MOD(F4,100),"00")&amp;IF(F2=5,"E","")</f>
        <v/>
      </c>
      <c r="G6">
        <f>G5&amp;"Q"&amp;TEXT(MOD(G4,100),"00")&amp;IF(G2=5,"E","")</f>
        <v/>
      </c>
    </row>
    <row r="7">
      <c r="A7" s="13" t="inlineStr">
        <is>
          <t>tipo</t>
        </is>
      </c>
      <c r="C7">
        <f>IF(C2=5,"Estimativa","Actual")</f>
        <v/>
      </c>
      <c r="D7">
        <f>IF(D2=5,"Estimativa","Actual")</f>
        <v/>
      </c>
      <c r="E7">
        <f>IF(E2=5,"Estimativa","Actual")</f>
        <v/>
      </c>
      <c r="F7">
        <f>IF(F2=5,"Estimativa","Actual")</f>
        <v/>
      </c>
      <c r="G7">
        <f>IF(G2=5,"Estimativa","Actual")</f>
        <v/>
      </c>
    </row>
    <row r="8">
      <c r="A8" s="13" t="inlineStr">
        <is>
          <t>override período (num)</t>
        </is>
      </c>
      <c r="C8">
        <f>IF(C2=5,"1FQ","-"&amp;(5-C2)&amp;"FQ")</f>
        <v/>
      </c>
      <c r="D8">
        <f>IF(D2=5,"1FQ","-"&amp;(5-D2)&amp;"FQ")</f>
        <v/>
      </c>
      <c r="E8">
        <f>IF(E2=5,"1FQ","-"&amp;(5-E2)&amp;"FQ")</f>
        <v/>
      </c>
      <c r="F8">
        <f>IF(F2=5,"1FQ","-"&amp;(5-F2)&amp;"FQ")</f>
        <v/>
      </c>
      <c r="G8">
        <f>IF(G2=5,"1FQ","-"&amp;(5-G2)&amp;"FQ")</f>
        <v/>
      </c>
    </row>
    <row r="9">
      <c r="A9" s="13" t="inlineStr">
        <is>
          <t>override período (den YoY)</t>
        </is>
      </c>
      <c r="C9">
        <f>IF(C2=5,"-3FQ","-"&amp;(5-C2+4)&amp;"FQ")</f>
        <v/>
      </c>
      <c r="D9">
        <f>IF(D2=5,"-3FQ","-"&amp;(5-D2+4)&amp;"FQ")</f>
        <v/>
      </c>
      <c r="E9">
        <f>IF(E2=5,"-3FQ","-"&amp;(5-E2+4)&amp;"FQ")</f>
        <v/>
      </c>
      <c r="F9">
        <f>IF(F2=5,"-3FQ","-"&amp;(5-F2+4)&amp;"FQ")</f>
        <v/>
      </c>
      <c r="G9">
        <f>IF(G2=5,"-3FQ","-"&amp;(5-G2+4)&amp;"FQ")</f>
        <v/>
      </c>
    </row>
    <row r="11">
      <c r="A11" s="13" t="inlineStr">
        <is>
          <t>EBITDA num</t>
        </is>
      </c>
      <c r="C11">
        <f>IFERROR(IF(C7="Estimativa",BDP(Idx,EBITDA_est,ovEst,C8,"EQY_FUND_CRNCY",Ccy),BDP(Idx,EBITDA_act,ovAct,C8,"EQY_FUND_CRNCY",Ccy)),"")</f>
        <v/>
      </c>
      <c r="D11">
        <f>IFERROR(IF(D7="Estimativa",BDP(Idx,EBITDA_est,ovEst,D8,"EQY_FUND_CRNCY",Ccy),BDP(Idx,EBITDA_act,ovAct,D8,"EQY_FUND_CRNCY",Ccy)),"")</f>
        <v/>
      </c>
      <c r="E11">
        <f>IFERROR(IF(E7="Estimativa",BDP(Idx,EBITDA_est,ovEst,E8,"EQY_FUND_CRNCY",Ccy),BDP(Idx,EBITDA_act,ovAct,E8,"EQY_FUND_CRNCY",Ccy)),"")</f>
        <v/>
      </c>
      <c r="F11">
        <f>IFERROR(IF(F7="Estimativa",BDP(Idx,EBITDA_est,ovEst,F8,"EQY_FUND_CRNCY",Ccy),BDP(Idx,EBITDA_act,ovAct,F8,"EQY_FUND_CRNCY",Ccy)),"")</f>
        <v/>
      </c>
      <c r="G11">
        <f>IFERROR(IF(G7="Estimativa",BDP(Idx,EBITDA_est,ovEst,G8,"EQY_FUND_CRNCY",Ccy),BDP(Idx,EBITDA_act,ovAct,G8,"EQY_FUND_CRNCY",Ccy)),"")</f>
        <v/>
      </c>
    </row>
    <row r="12">
      <c r="A12" s="13" t="inlineStr">
        <is>
          <t>EBITDA den</t>
        </is>
      </c>
      <c r="C12">
        <f>IFERROR(BDP(Idx,EBITDA_act,ovAct,C9,"EQY_FUND_CRNCY",Ccy),"")</f>
        <v/>
      </c>
      <c r="D12">
        <f>IFERROR(BDP(Idx,EBITDA_act,ovAct,D9,"EQY_FUND_CRNCY",Ccy),"")</f>
        <v/>
      </c>
      <c r="E12">
        <f>IFERROR(BDP(Idx,EBITDA_act,ovAct,E9,"EQY_FUND_CRNCY",Ccy),"")</f>
        <v/>
      </c>
      <c r="F12">
        <f>IFERROR(BDP(Idx,EBITDA_act,ovAct,F9,"EQY_FUND_CRNCY",Ccy),"")</f>
        <v/>
      </c>
      <c r="G12">
        <f>IFERROR(BDP(Idx,EBITDA_act,ovAct,G9,"EQY_FUND_CRNCY",Ccy),"")</f>
        <v/>
      </c>
    </row>
    <row r="13">
      <c r="A13" s="13" t="inlineStr">
        <is>
          <t>EBITDA YoY</t>
        </is>
      </c>
      <c r="C13" s="14">
        <f>IFERROR(C11/C12-1,"")</f>
        <v/>
      </c>
      <c r="D13" s="14">
        <f>IFERROR(D11/D12-1,"")</f>
        <v/>
      </c>
      <c r="E13" s="14">
        <f>IFERROR(E11/E12-1,"")</f>
        <v/>
      </c>
      <c r="F13" s="14">
        <f>IFERROR(F11/F12-1,"")</f>
        <v/>
      </c>
      <c r="G13" s="14">
        <f>IFERROR(G11/G12-1,"")</f>
        <v/>
      </c>
    </row>
    <row r="15">
      <c r="A15" s="13" t="inlineStr">
        <is>
          <t>EPS num</t>
        </is>
      </c>
      <c r="C15">
        <f>IFERROR(IF(C7="Estimativa",BDP(Idx,EPS_est,ovEst,C8,"EQY_FUND_CRNCY",Ccy),BDP(Idx,EPS_act,ovAct,C8,"EQY_FUND_CRNCY",Ccy)),"")</f>
        <v/>
      </c>
      <c r="D15">
        <f>IFERROR(IF(D7="Estimativa",BDP(Idx,EPS_est,ovEst,D8,"EQY_FUND_CRNCY",Ccy),BDP(Idx,EPS_act,ovAct,D8,"EQY_FUND_CRNCY",Ccy)),"")</f>
        <v/>
      </c>
      <c r="E15">
        <f>IFERROR(IF(E7="Estimativa",BDP(Idx,EPS_est,ovEst,E8,"EQY_FUND_CRNCY",Ccy),BDP(Idx,EPS_act,ovAct,E8,"EQY_FUND_CRNCY",Ccy)),"")</f>
        <v/>
      </c>
      <c r="F15">
        <f>IFERROR(IF(F7="Estimativa",BDP(Idx,EPS_est,ovEst,F8,"EQY_FUND_CRNCY",Ccy),BDP(Idx,EPS_act,ovAct,F8,"EQY_FUND_CRNCY",Ccy)),"")</f>
        <v/>
      </c>
      <c r="G15">
        <f>IFERROR(IF(G7="Estimativa",BDP(Idx,EPS_est,ovEst,G8,"EQY_FUND_CRNCY",Ccy),BDP(Idx,EPS_act,ovAct,G8,"EQY_FUND_CRNCY",Ccy)),"")</f>
        <v/>
      </c>
    </row>
    <row r="16">
      <c r="A16" s="13" t="inlineStr">
        <is>
          <t>EPS den</t>
        </is>
      </c>
      <c r="C16">
        <f>IFERROR(BDP(Idx,EPS_act,ovAct,C9,"EQY_FUND_CRNCY",Ccy),"")</f>
        <v/>
      </c>
      <c r="D16">
        <f>IFERROR(BDP(Idx,EPS_act,ovAct,D9,"EQY_FUND_CRNCY",Ccy),"")</f>
        <v/>
      </c>
      <c r="E16">
        <f>IFERROR(BDP(Idx,EPS_act,ovAct,E9,"EQY_FUND_CRNCY",Ccy),"")</f>
        <v/>
      </c>
      <c r="F16">
        <f>IFERROR(BDP(Idx,EPS_act,ovAct,F9,"EQY_FUND_CRNCY",Ccy),"")</f>
        <v/>
      </c>
      <c r="G16">
        <f>IFERROR(BDP(Idx,EPS_act,ovAct,G9,"EQY_FUND_CRNCY",Ccy),"")</f>
        <v/>
      </c>
    </row>
    <row r="17">
      <c r="A17" s="13" t="inlineStr">
        <is>
          <t>EPS YoY</t>
        </is>
      </c>
      <c r="C17" s="14">
        <f>IFERROR(C15/C16-1,"")</f>
        <v/>
      </c>
      <c r="D17" s="14">
        <f>IFERROR(D15/D16-1,"")</f>
        <v/>
      </c>
      <c r="E17" s="14">
        <f>IFERROR(E15/E16-1,"")</f>
        <v/>
      </c>
      <c r="F17" s="14">
        <f>IFERROR(F15/F16-1,"")</f>
        <v/>
      </c>
      <c r="G17" s="14">
        <f>IFERROR(G15/G16-1,"")</f>
        <v/>
      </c>
    </row>
    <row r="19">
      <c r="A19" s="13" t="inlineStr">
        <is>
          <t>Sales num</t>
        </is>
      </c>
      <c r="C19">
        <f>IFERROR(IF(C7="Estimativa",BDP(Idx,Sales_est,ovEst,C8,"EQY_FUND_CRNCY",Ccy),BDP(Idx,Sales_act,ovAct,C8,"EQY_FUND_CRNCY",Ccy)),"")</f>
        <v/>
      </c>
      <c r="D19">
        <f>IFERROR(IF(D7="Estimativa",BDP(Idx,Sales_est,ovEst,D8,"EQY_FUND_CRNCY",Ccy),BDP(Idx,Sales_act,ovAct,D8,"EQY_FUND_CRNCY",Ccy)),"")</f>
        <v/>
      </c>
      <c r="E19">
        <f>IFERROR(IF(E7="Estimativa",BDP(Idx,Sales_est,ovEst,E8,"EQY_FUND_CRNCY",Ccy),BDP(Idx,Sales_act,ovAct,E8,"EQY_FUND_CRNCY",Ccy)),"")</f>
        <v/>
      </c>
      <c r="F19">
        <f>IFERROR(IF(F7="Estimativa",BDP(Idx,Sales_est,ovEst,F8,"EQY_FUND_CRNCY",Ccy),BDP(Idx,Sales_act,ovAct,F8,"EQY_FUND_CRNCY",Ccy)),"")</f>
        <v/>
      </c>
      <c r="G19">
        <f>IFERROR(IF(G7="Estimativa",BDP(Idx,Sales_est,ovEst,G8,"EQY_FUND_CRNCY",Ccy),BDP(Idx,Sales_act,ovAct,G8,"EQY_FUND_CRNCY",Ccy)),"")</f>
        <v/>
      </c>
    </row>
    <row r="20">
      <c r="A20" s="13" t="inlineStr">
        <is>
          <t>Sales den</t>
        </is>
      </c>
      <c r="C20">
        <f>IFERROR(BDP(Idx,Sales_act,ovAct,C9,"EQY_FUND_CRNCY",Ccy),"")</f>
        <v/>
      </c>
      <c r="D20">
        <f>IFERROR(BDP(Idx,Sales_act,ovAct,D9,"EQY_FUND_CRNCY",Ccy),"")</f>
        <v/>
      </c>
      <c r="E20">
        <f>IFERROR(BDP(Idx,Sales_act,ovAct,E9,"EQY_FUND_CRNCY",Ccy),"")</f>
        <v/>
      </c>
      <c r="F20">
        <f>IFERROR(BDP(Idx,Sales_act,ovAct,F9,"EQY_FUND_CRNCY",Ccy),"")</f>
        <v/>
      </c>
      <c r="G20">
        <f>IFERROR(BDP(Idx,Sales_act,ovAct,G9,"EQY_FUND_CRNCY",Ccy),"")</f>
        <v/>
      </c>
    </row>
    <row r="21">
      <c r="A21" s="13" t="inlineStr">
        <is>
          <t>Sales YoY</t>
        </is>
      </c>
      <c r="C21" s="14">
        <f>IFERROR(C19/C20-1,"")</f>
        <v/>
      </c>
      <c r="D21" s="14">
        <f>IFERROR(D19/D20-1,"")</f>
        <v/>
      </c>
      <c r="E21" s="14">
        <f>IFERROR(E19/E20-1,"")</f>
        <v/>
      </c>
      <c r="F21" s="14">
        <f>IFERROR(F19/F20-1,"")</f>
        <v/>
      </c>
      <c r="G21" s="14">
        <f>IFERROR(G19/G20-1,"")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2026-07-16T18:18:09Z</dcterms:created>
  <dcterms:modified xsi:type="dcterms:W3CDTF">2026-07-16T18:18:09Z</dcterms:modified>
</cp:coreProperties>
</file>