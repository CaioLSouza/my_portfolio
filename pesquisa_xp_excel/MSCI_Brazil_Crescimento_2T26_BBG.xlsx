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ai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FF343436"/>
      <sz val="14"/>
    </font>
    <font>
      <name val="Calibri"/>
      <b val="1"/>
      <color rgb="FF343436"/>
      <sz val="11"/>
    </font>
    <font>
      <name val="Calibri"/>
      <color rgb="FF3B3B3B"/>
      <sz val="10"/>
    </font>
    <font>
      <name val="Calibri"/>
      <color rgb="FF7E7E7E"/>
      <sz val="10"/>
    </font>
    <font>
      <name val="Calibri"/>
      <b val="1"/>
      <color rgb="FF343436"/>
      <sz val="10"/>
    </font>
    <font>
      <name val="Calibri"/>
      <i val="1"/>
      <color rgb="FF7E7E7E"/>
      <sz val="9"/>
    </font>
    <font>
      <name val="Calibri"/>
      <b val="1"/>
      <color rgb="FFFFFFFF"/>
      <sz val="10"/>
    </font>
    <font>
      <name val="Calibri"/>
      <color rgb="FF343436"/>
      <sz val="10"/>
    </font>
    <font>
      <name val="Calibri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7D6"/>
      </patternFill>
    </fill>
    <fill>
      <patternFill patternType="solid">
        <fgColor rgb="FF5A5C5E"/>
      </patternFill>
    </fill>
    <fill>
      <patternFill patternType="solid">
        <fgColor rgb="FF34343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2" borderId="1" pivotButton="0" quotePrefix="0" xfId="0"/>
    <xf numFmtId="4" fontId="9" fillId="0" borderId="1" pivotButton="0" quotePrefix="0" xfId="0"/>
    <xf numFmtId="164" fontId="8" fillId="0" borderId="1" pivotButton="0" quotePrefix="0" xfId="0"/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8" customWidth="1" min="2" max="2"/>
  </cols>
  <sheetData>
    <row r="2">
      <c r="B2" s="1" t="inlineStr">
        <is>
          <t>Crescimento 2T26 (YoY) — EPS, Receita/Ação e EBITDA/Ação — Setores do MSCI Brazil (Bloomberg BQL)</t>
        </is>
      </c>
    </row>
    <row r="3"/>
    <row r="4">
      <c r="B4" s="2" t="inlineStr">
        <is>
          <t>O que faz</t>
        </is>
      </c>
    </row>
    <row r="5">
      <c r="B5" s="3" t="inlineStr">
        <is>
          <t>Estima o crescimento ano-contra-ano (YoY) do 2º trimestre de 2026 para três métricas POR AÇÃO — EPS, Receita por Ação e EBITDA por</t>
        </is>
      </c>
    </row>
    <row r="6">
      <c r="B6" s="3" t="inlineStr">
        <is>
          <t>Ação — em cada índice setorial do MSCI Brazil, usando os agregados de índice do BQL (mesma família de campos exibida no EEO &lt;GO&gt;).</t>
        </is>
      </c>
    </row>
    <row r="7">
      <c r="B7" s="3" t="inlineStr">
        <is>
          <t>Crescimento YoY = estimativa 2T26 (AE=E) / realizado 2T25 (AE=A) − 1.</t>
        </is>
      </c>
    </row>
    <row r="8"/>
    <row r="9">
      <c r="B9" s="2" t="inlineStr">
        <is>
          <t>Requisitos</t>
        </is>
      </c>
    </row>
    <row r="10">
      <c r="B10" s="3" t="inlineStr">
        <is>
          <t>• Excel com o add-in do Bloomberg (BQL) instalado e logado no Terminal.</t>
        </is>
      </c>
    </row>
    <row r="11">
      <c r="B11" s="3" t="inlineStr">
        <is>
          <t>• Sem o add-in, as fórmulas =BQL(...) aparecem como texto / #NAME? — isso é esperado, não é erro do arquivo.</t>
        </is>
      </c>
    </row>
    <row r="12"/>
    <row r="13">
      <c r="B13" s="2" t="inlineStr">
        <is>
          <t>Como usar</t>
        </is>
      </c>
    </row>
    <row r="14">
      <c r="B14" s="3" t="inlineStr">
        <is>
          <t>1) Aba 'Painel' → confira/edite os tickers setoriais na coluna 'Ticker' (células amarelas). É a única fonte de ticker das fórmulas.</t>
        </is>
      </c>
    </row>
    <row r="15">
      <c r="B15" s="3" t="inlineStr">
        <is>
          <t>2) Atualize: add-in Bloomberg → 'Refresh All' (ou Ctrl+Alt+F9). Os valores 2T26E e 2T25A se preenchem e o crescimento é calculado.</t>
        </is>
      </c>
    </row>
    <row r="16"/>
    <row r="17">
      <c r="B17" s="2" t="inlineStr">
        <is>
          <t>Campos BQL (agregados por ação em nível de índice — equivalentes ao EEO &lt;GO&gt;)</t>
        </is>
      </c>
    </row>
    <row r="18">
      <c r="B18" s="3" t="inlineStr">
        <is>
          <t>• EPS ...................... HEADLINE_EPS_MARKET</t>
        </is>
      </c>
    </row>
    <row r="19">
      <c r="B19" s="3" t="inlineStr">
        <is>
          <t>• Receita por Ação ......... HEADLINE_REV_PER_SHARE</t>
        </is>
      </c>
    </row>
    <row r="20">
      <c r="B20" s="3" t="inlineStr">
        <is>
          <t>• EBITDA por Ação .......... ebitda_per_sh</t>
        </is>
      </c>
    </row>
    <row r="21"/>
    <row r="22">
      <c r="B22" s="2" t="inlineStr">
        <is>
          <t>Períodos e sintaxe (override no próprio campo BQL)</t>
        </is>
      </c>
    </row>
    <row r="23">
      <c r="B23" s="3" t="inlineStr">
        <is>
          <t>• 2T26E (estimativa): (FPT=Q, FPR=2026Q2, AE=E)      Ex.: =BQL("MXBR Index","HEADLINE_EPS_MARKET(FPT=Q, FPR=2026Q2, AE=E)")</t>
        </is>
      </c>
    </row>
    <row r="24">
      <c r="B24" s="3" t="inlineStr">
        <is>
          <t>• 2T25A (realizado):  (FPT=Q, FPR=2025Q2, AE=A)      — usado como base do YoY.</t>
        </is>
      </c>
    </row>
    <row r="25">
      <c r="B25" s="3" t="inlineStr">
        <is>
          <t>• No 'Painel' o 1º argumento é a célula do ticker (ex.: =BQL($C14,"HEADLINE_EPS_MARKET(FPT=Q, FPR=2026Q2, AE=E)")).</t>
        </is>
      </c>
    </row>
    <row r="26"/>
    <row r="27">
      <c r="B27" s="2" t="inlineStr">
        <is>
          <t>Cálculo do crescimento</t>
        </is>
      </c>
    </row>
    <row r="28">
      <c r="B28" s="3" t="inlineStr">
        <is>
          <t>• Crescimento YoY = 2T26E / 2T25A − 1  (fórmula =IFERROR(2T26E/2T25A-1,""); fica em branco se faltar dado ou o 2T25A for zero).</t>
        </is>
      </c>
    </row>
    <row r="29"/>
    <row r="30">
      <c r="B30" s="2" t="inlineStr">
        <is>
          <t>Tickers (IMPORTANTE — verificar)</t>
        </is>
      </c>
    </row>
    <row r="31">
      <c r="B31" s="3" t="inlineStr">
        <is>
          <t>• Convenção usada: MXBR0&lt;GICS&gt; Index (ex.: MXBR0FN = Financeiro, MXBR0EN = Energia); o índice cheio é 'MXBR Index'.</t>
        </is>
      </c>
    </row>
    <row r="32">
      <c r="B32" s="3" t="inlineStr">
        <is>
          <t>• Nem todo setor tem índice no MSCI Brazil (ex.: TI/Imobiliário/Comunicação podem ser pequenos ou inexistentes) → pode retornar #N/A.</t>
        </is>
      </c>
    </row>
    <row r="33">
      <c r="B33" s="3" t="inlineStr">
        <is>
          <t>• Confirme cada ticker no Terminal (digite o ticker + &lt;Index&gt; + &lt;GO&gt;, ou use o buscador de índices).</t>
        </is>
      </c>
    </row>
    <row r="34"/>
    <row r="35">
      <c r="B35" s="2" t="inlineStr">
        <is>
          <t>Observações</t>
        </is>
      </c>
    </row>
    <row r="36">
      <c r="B36" s="3" t="inlineStr">
        <is>
          <t>• EBITDA por ação: se divergir do EEO &lt;GO&gt;, clique com o botão direito na linha de EBITDA no EEO e selecione 'Definition' para</t>
        </is>
      </c>
    </row>
    <row r="37">
      <c r="B37" s="3" t="inlineStr">
        <is>
          <t xml:space="preserve">  confirmar o mnemônico exato do índice e ajuste o campo se necessário.</t>
        </is>
      </c>
    </row>
    <row r="38">
      <c r="B38" s="3" t="inlineStr">
        <is>
          <t>• Moeda: por padrão usa a moeda do índice. Para isolar o fundamento em BRL, adicione o parâmetro de moeda ao campo (ex.: currency=BRL).</t>
        </is>
      </c>
    </row>
    <row r="39">
      <c r="B39" s="3" t="inlineStr">
        <is>
          <t>• Nenhum número foi digitado à mão neste arquivo — todas as células de dados se preenchem via Bloomberg no Refresh. Sem o Terminal,</t>
        </is>
      </c>
    </row>
    <row r="40">
      <c r="B40" s="3" t="inlineStr">
        <is>
          <t xml:space="preserve">  não há valores (isso é intencional: não se deve estimar EPS/EBITDA/Receita sem a fonte).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0"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>
      <c r="B2" s="1" t="inlineStr">
        <is>
          <t>Crescimento 2T26 (YoY) — Setores do MSCI Brazil (dados Bloomberg BQL)</t>
        </is>
      </c>
    </row>
    <row r="3">
      <c r="B3" s="4" t="inlineStr">
        <is>
          <t>EPS, Receita por Ação e EBITDA por Ação — estimativa 2T26 (AE=E) vs realizado 2T25 (AE=A). Valores aparecem após o Refresh do add-in.</t>
        </is>
      </c>
    </row>
    <row r="5">
      <c r="B5" s="5" t="inlineStr">
        <is>
          <t>Legenda:</t>
        </is>
      </c>
      <c r="C5" s="6" t="inlineStr">
        <is>
          <t xml:space="preserve">  células amarelas = editar/verificar (Ticker)</t>
        </is>
      </c>
    </row>
    <row r="6">
      <c r="B6" s="5" t="inlineStr">
        <is>
          <t>Formato do ticker:</t>
        </is>
      </c>
      <c r="C6" s="3" t="inlineStr">
        <is>
          <t>MXBR0EN Index  (exemplo)</t>
        </is>
      </c>
    </row>
    <row r="7">
      <c r="B7" s="7" t="inlineStr">
        <is>
          <t>Demais colunas são fórmulas =BQL(...) e =IFERROR(...) — preenchem sozinhas no Refresh (não editar).</t>
        </is>
      </c>
    </row>
    <row r="12">
      <c r="D12" s="8" t="inlineStr">
        <is>
          <t>EPS (por ação)</t>
        </is>
      </c>
      <c r="G12" s="8" t="inlineStr">
        <is>
          <t>Receita por Ação</t>
        </is>
      </c>
      <c r="J12" s="8" t="inlineStr">
        <is>
          <t>EBITDA por Ação</t>
        </is>
      </c>
    </row>
    <row r="13">
      <c r="B13" s="9" t="inlineStr">
        <is>
          <t>Setor</t>
        </is>
      </c>
      <c r="C13" s="9" t="inlineStr">
        <is>
          <t>Ticker (verificar)</t>
        </is>
      </c>
      <c r="D13" s="9" t="inlineStr">
        <is>
          <t>2T26E</t>
        </is>
      </c>
      <c r="E13" s="9" t="inlineStr">
        <is>
          <t>2T25A</t>
        </is>
      </c>
      <c r="F13" s="9" t="inlineStr">
        <is>
          <t>Cresc. YoY</t>
        </is>
      </c>
      <c r="G13" s="9" t="inlineStr">
        <is>
          <t>2T26E</t>
        </is>
      </c>
      <c r="H13" s="9" t="inlineStr">
        <is>
          <t>2T25A</t>
        </is>
      </c>
      <c r="I13" s="9" t="inlineStr">
        <is>
          <t>Cresc. YoY</t>
        </is>
      </c>
      <c r="J13" s="9" t="inlineStr">
        <is>
          <t>2T26E</t>
        </is>
      </c>
      <c r="K13" s="9" t="inlineStr">
        <is>
          <t>2T25A</t>
        </is>
      </c>
      <c r="L13" s="9" t="inlineStr">
        <is>
          <t>Cresc. YoY</t>
        </is>
      </c>
    </row>
    <row r="14">
      <c r="B14" s="10" t="inlineStr">
        <is>
          <t>Energia</t>
        </is>
      </c>
      <c r="C14" s="11" t="inlineStr">
        <is>
          <t>MXBR0EN Index</t>
        </is>
      </c>
      <c r="D14" s="12">
        <f>BQL($C14,"HEADLINE_EPS_MARKET(FPT=Q, FPR=2026Q2, AE=E)")</f>
        <v/>
      </c>
      <c r="E14" s="12">
        <f>BQL($C14,"HEADLINE_EPS_MARKET(FPT=Q, FPR=2025Q2, AE=A)")</f>
        <v/>
      </c>
      <c r="F14" s="13">
        <f>IFERROR(D14/E14-1,"")</f>
        <v/>
      </c>
      <c r="G14" s="12">
        <f>BQL($C14,"HEADLINE_REV_PER_SHARE(FPT=Q, FPR=2026Q2, AE=E)")</f>
        <v/>
      </c>
      <c r="H14" s="12">
        <f>BQL($C14,"HEADLINE_REV_PER_SHARE(FPT=Q, FPR=2025Q2, AE=A)")</f>
        <v/>
      </c>
      <c r="I14" s="13">
        <f>IFERROR(G14/H14-1,"")</f>
        <v/>
      </c>
      <c r="J14" s="12">
        <f>BQL($C14,"ebitda_per_sh(FPT=Q, FPR=2026Q2, AE=E)")</f>
        <v/>
      </c>
      <c r="K14" s="12">
        <f>BQL($C14,"ebitda_per_sh(FPT=Q, FPR=2025Q2, AE=A)")</f>
        <v/>
      </c>
      <c r="L14" s="13">
        <f>IFERROR(J14/K14-1,"")</f>
        <v/>
      </c>
    </row>
    <row r="15">
      <c r="B15" s="10" t="inlineStr">
        <is>
          <t>Materiais</t>
        </is>
      </c>
      <c r="C15" s="11" t="inlineStr">
        <is>
          <t>MXBR0MT Index</t>
        </is>
      </c>
      <c r="D15" s="12">
        <f>BQL($C15,"HEADLINE_EPS_MARKET(FPT=Q, FPR=2026Q2, AE=E)")</f>
        <v/>
      </c>
      <c r="E15" s="12">
        <f>BQL($C15,"HEADLINE_EPS_MARKET(FPT=Q, FPR=2025Q2, AE=A)")</f>
        <v/>
      </c>
      <c r="F15" s="13">
        <f>IFERROR(D15/E15-1,"")</f>
        <v/>
      </c>
      <c r="G15" s="12">
        <f>BQL($C15,"HEADLINE_REV_PER_SHARE(FPT=Q, FPR=2026Q2, AE=E)")</f>
        <v/>
      </c>
      <c r="H15" s="12">
        <f>BQL($C15,"HEADLINE_REV_PER_SHARE(FPT=Q, FPR=2025Q2, AE=A)")</f>
        <v/>
      </c>
      <c r="I15" s="13">
        <f>IFERROR(G15/H15-1,"")</f>
        <v/>
      </c>
      <c r="J15" s="12">
        <f>BQL($C15,"ebitda_per_sh(FPT=Q, FPR=2026Q2, AE=E)")</f>
        <v/>
      </c>
      <c r="K15" s="12">
        <f>BQL($C15,"ebitda_per_sh(FPT=Q, FPR=2025Q2, AE=A)")</f>
        <v/>
      </c>
      <c r="L15" s="13">
        <f>IFERROR(J15/K15-1,"")</f>
        <v/>
      </c>
    </row>
    <row r="16">
      <c r="B16" s="10" t="inlineStr">
        <is>
          <t>Bens Industriais</t>
        </is>
      </c>
      <c r="C16" s="11" t="inlineStr">
        <is>
          <t>MXBR0IN Index</t>
        </is>
      </c>
      <c r="D16" s="12">
        <f>BQL($C16,"HEADLINE_EPS_MARKET(FPT=Q, FPR=2026Q2, AE=E)")</f>
        <v/>
      </c>
      <c r="E16" s="12">
        <f>BQL($C16,"HEADLINE_EPS_MARKET(FPT=Q, FPR=2025Q2, AE=A)")</f>
        <v/>
      </c>
      <c r="F16" s="13">
        <f>IFERROR(D16/E16-1,"")</f>
        <v/>
      </c>
      <c r="G16" s="12">
        <f>BQL($C16,"HEADLINE_REV_PER_SHARE(FPT=Q, FPR=2026Q2, AE=E)")</f>
        <v/>
      </c>
      <c r="H16" s="12">
        <f>BQL($C16,"HEADLINE_REV_PER_SHARE(FPT=Q, FPR=2025Q2, AE=A)")</f>
        <v/>
      </c>
      <c r="I16" s="13">
        <f>IFERROR(G16/H16-1,"")</f>
        <v/>
      </c>
      <c r="J16" s="12">
        <f>BQL($C16,"ebitda_per_sh(FPT=Q, FPR=2026Q2, AE=E)")</f>
        <v/>
      </c>
      <c r="K16" s="12">
        <f>BQL($C16,"ebitda_per_sh(FPT=Q, FPR=2025Q2, AE=A)")</f>
        <v/>
      </c>
      <c r="L16" s="13">
        <f>IFERROR(J16/K16-1,"")</f>
        <v/>
      </c>
    </row>
    <row r="17">
      <c r="B17" s="10" t="inlineStr">
        <is>
          <t>Consumo Discricionário</t>
        </is>
      </c>
      <c r="C17" s="11" t="inlineStr">
        <is>
          <t>MXBR0CD Index</t>
        </is>
      </c>
      <c r="D17" s="12">
        <f>BQL($C17,"HEADLINE_EPS_MARKET(FPT=Q, FPR=2026Q2, AE=E)")</f>
        <v/>
      </c>
      <c r="E17" s="12">
        <f>BQL($C17,"HEADLINE_EPS_MARKET(FPT=Q, FPR=2025Q2, AE=A)")</f>
        <v/>
      </c>
      <c r="F17" s="13">
        <f>IFERROR(D17/E17-1,"")</f>
        <v/>
      </c>
      <c r="G17" s="12">
        <f>BQL($C17,"HEADLINE_REV_PER_SHARE(FPT=Q, FPR=2026Q2, AE=E)")</f>
        <v/>
      </c>
      <c r="H17" s="12">
        <f>BQL($C17,"HEADLINE_REV_PER_SHARE(FPT=Q, FPR=2025Q2, AE=A)")</f>
        <v/>
      </c>
      <c r="I17" s="13">
        <f>IFERROR(G17/H17-1,"")</f>
        <v/>
      </c>
      <c r="J17" s="12">
        <f>BQL($C17,"ebitda_per_sh(FPT=Q, FPR=2026Q2, AE=E)")</f>
        <v/>
      </c>
      <c r="K17" s="12">
        <f>BQL($C17,"ebitda_per_sh(FPT=Q, FPR=2025Q2, AE=A)")</f>
        <v/>
      </c>
      <c r="L17" s="13">
        <f>IFERROR(J17/K17-1,"")</f>
        <v/>
      </c>
    </row>
    <row r="18">
      <c r="B18" s="10" t="inlineStr">
        <is>
          <t>Consumo Básico</t>
        </is>
      </c>
      <c r="C18" s="11" t="inlineStr">
        <is>
          <t>MXBR0CS Index</t>
        </is>
      </c>
      <c r="D18" s="12">
        <f>BQL($C18,"HEADLINE_EPS_MARKET(FPT=Q, FPR=2026Q2, AE=E)")</f>
        <v/>
      </c>
      <c r="E18" s="12">
        <f>BQL($C18,"HEADLINE_EPS_MARKET(FPT=Q, FPR=2025Q2, AE=A)")</f>
        <v/>
      </c>
      <c r="F18" s="13">
        <f>IFERROR(D18/E18-1,"")</f>
        <v/>
      </c>
      <c r="G18" s="12">
        <f>BQL($C18,"HEADLINE_REV_PER_SHARE(FPT=Q, FPR=2026Q2, AE=E)")</f>
        <v/>
      </c>
      <c r="H18" s="12">
        <f>BQL($C18,"HEADLINE_REV_PER_SHARE(FPT=Q, FPR=2025Q2, AE=A)")</f>
        <v/>
      </c>
      <c r="I18" s="13">
        <f>IFERROR(G18/H18-1,"")</f>
        <v/>
      </c>
      <c r="J18" s="12">
        <f>BQL($C18,"ebitda_per_sh(FPT=Q, FPR=2026Q2, AE=E)")</f>
        <v/>
      </c>
      <c r="K18" s="12">
        <f>BQL($C18,"ebitda_per_sh(FPT=Q, FPR=2025Q2, AE=A)")</f>
        <v/>
      </c>
      <c r="L18" s="13">
        <f>IFERROR(J18/K18-1,"")</f>
        <v/>
      </c>
    </row>
    <row r="19">
      <c r="B19" s="10" t="inlineStr">
        <is>
          <t>Saúde</t>
        </is>
      </c>
      <c r="C19" s="11" t="inlineStr">
        <is>
          <t>MXBR0HC Index</t>
        </is>
      </c>
      <c r="D19" s="12">
        <f>BQL($C19,"HEADLINE_EPS_MARKET(FPT=Q, FPR=2026Q2, AE=E)")</f>
        <v/>
      </c>
      <c r="E19" s="12">
        <f>BQL($C19,"HEADLINE_EPS_MARKET(FPT=Q, FPR=2025Q2, AE=A)")</f>
        <v/>
      </c>
      <c r="F19" s="13">
        <f>IFERROR(D19/E19-1,"")</f>
        <v/>
      </c>
      <c r="G19" s="12">
        <f>BQL($C19,"HEADLINE_REV_PER_SHARE(FPT=Q, FPR=2026Q2, AE=E)")</f>
        <v/>
      </c>
      <c r="H19" s="12">
        <f>BQL($C19,"HEADLINE_REV_PER_SHARE(FPT=Q, FPR=2025Q2, AE=A)")</f>
        <v/>
      </c>
      <c r="I19" s="13">
        <f>IFERROR(G19/H19-1,"")</f>
        <v/>
      </c>
      <c r="J19" s="12">
        <f>BQL($C19,"ebitda_per_sh(FPT=Q, FPR=2026Q2, AE=E)")</f>
        <v/>
      </c>
      <c r="K19" s="12">
        <f>BQL($C19,"ebitda_per_sh(FPT=Q, FPR=2025Q2, AE=A)")</f>
        <v/>
      </c>
      <c r="L19" s="13">
        <f>IFERROR(J19/K19-1,"")</f>
        <v/>
      </c>
    </row>
    <row r="20">
      <c r="B20" s="10" t="inlineStr">
        <is>
          <t>Financeiro</t>
        </is>
      </c>
      <c r="C20" s="11" t="inlineStr">
        <is>
          <t>MXBR0FN Index</t>
        </is>
      </c>
      <c r="D20" s="12">
        <f>BQL($C20,"HEADLINE_EPS_MARKET(FPT=Q, FPR=2026Q2, AE=E)")</f>
        <v/>
      </c>
      <c r="E20" s="12">
        <f>BQL($C20,"HEADLINE_EPS_MARKET(FPT=Q, FPR=2025Q2, AE=A)")</f>
        <v/>
      </c>
      <c r="F20" s="13">
        <f>IFERROR(D20/E20-1,"")</f>
        <v/>
      </c>
      <c r="G20" s="12">
        <f>BQL($C20,"HEADLINE_REV_PER_SHARE(FPT=Q, FPR=2026Q2, AE=E)")</f>
        <v/>
      </c>
      <c r="H20" s="12">
        <f>BQL($C20,"HEADLINE_REV_PER_SHARE(FPT=Q, FPR=2025Q2, AE=A)")</f>
        <v/>
      </c>
      <c r="I20" s="13">
        <f>IFERROR(G20/H20-1,"")</f>
        <v/>
      </c>
      <c r="J20" s="12">
        <f>BQL($C20,"ebitda_per_sh(FPT=Q, FPR=2026Q2, AE=E)")</f>
        <v/>
      </c>
      <c r="K20" s="12">
        <f>BQL($C20,"ebitda_per_sh(FPT=Q, FPR=2025Q2, AE=A)")</f>
        <v/>
      </c>
      <c r="L20" s="13">
        <f>IFERROR(J20/K20-1,"")</f>
        <v/>
      </c>
    </row>
    <row r="21">
      <c r="B21" s="10" t="inlineStr">
        <is>
          <t>Tecnologia da Informação</t>
        </is>
      </c>
      <c r="C21" s="11" t="inlineStr">
        <is>
          <t>MXBR0IT Index</t>
        </is>
      </c>
      <c r="D21" s="12">
        <f>BQL($C21,"HEADLINE_EPS_MARKET(FPT=Q, FPR=2026Q2, AE=E)")</f>
        <v/>
      </c>
      <c r="E21" s="12">
        <f>BQL($C21,"HEADLINE_EPS_MARKET(FPT=Q, FPR=2025Q2, AE=A)")</f>
        <v/>
      </c>
      <c r="F21" s="13">
        <f>IFERROR(D21/E21-1,"")</f>
        <v/>
      </c>
      <c r="G21" s="12">
        <f>BQL($C21,"HEADLINE_REV_PER_SHARE(FPT=Q, FPR=2026Q2, AE=E)")</f>
        <v/>
      </c>
      <c r="H21" s="12">
        <f>BQL($C21,"HEADLINE_REV_PER_SHARE(FPT=Q, FPR=2025Q2, AE=A)")</f>
        <v/>
      </c>
      <c r="I21" s="13">
        <f>IFERROR(G21/H21-1,"")</f>
        <v/>
      </c>
      <c r="J21" s="12">
        <f>BQL($C21,"ebitda_per_sh(FPT=Q, FPR=2026Q2, AE=E)")</f>
        <v/>
      </c>
      <c r="K21" s="12">
        <f>BQL($C21,"ebitda_per_sh(FPT=Q, FPR=2025Q2, AE=A)")</f>
        <v/>
      </c>
      <c r="L21" s="13">
        <f>IFERROR(J21/K21-1,"")</f>
        <v/>
      </c>
    </row>
    <row r="22">
      <c r="B22" s="10" t="inlineStr">
        <is>
          <t>Serviços de Comunicação</t>
        </is>
      </c>
      <c r="C22" s="11" t="inlineStr">
        <is>
          <t>MXBR0TC Index</t>
        </is>
      </c>
      <c r="D22" s="12">
        <f>BQL($C22,"HEADLINE_EPS_MARKET(FPT=Q, FPR=2026Q2, AE=E)")</f>
        <v/>
      </c>
      <c r="E22" s="12">
        <f>BQL($C22,"HEADLINE_EPS_MARKET(FPT=Q, FPR=2025Q2, AE=A)")</f>
        <v/>
      </c>
      <c r="F22" s="13">
        <f>IFERROR(D22/E22-1,"")</f>
        <v/>
      </c>
      <c r="G22" s="12">
        <f>BQL($C22,"HEADLINE_REV_PER_SHARE(FPT=Q, FPR=2026Q2, AE=E)")</f>
        <v/>
      </c>
      <c r="H22" s="12">
        <f>BQL($C22,"HEADLINE_REV_PER_SHARE(FPT=Q, FPR=2025Q2, AE=A)")</f>
        <v/>
      </c>
      <c r="I22" s="13">
        <f>IFERROR(G22/H22-1,"")</f>
        <v/>
      </c>
      <c r="J22" s="12">
        <f>BQL($C22,"ebitda_per_sh(FPT=Q, FPR=2026Q2, AE=E)")</f>
        <v/>
      </c>
      <c r="K22" s="12">
        <f>BQL($C22,"ebitda_per_sh(FPT=Q, FPR=2025Q2, AE=A)")</f>
        <v/>
      </c>
      <c r="L22" s="13">
        <f>IFERROR(J22/K22-1,"")</f>
        <v/>
      </c>
    </row>
    <row r="23">
      <c r="B23" s="10" t="inlineStr">
        <is>
          <t>Utilities (Serv. Públicos)</t>
        </is>
      </c>
      <c r="C23" s="11" t="inlineStr">
        <is>
          <t>MXBR0UT Index</t>
        </is>
      </c>
      <c r="D23" s="12">
        <f>BQL($C23,"HEADLINE_EPS_MARKET(FPT=Q, FPR=2026Q2, AE=E)")</f>
        <v/>
      </c>
      <c r="E23" s="12">
        <f>BQL($C23,"HEADLINE_EPS_MARKET(FPT=Q, FPR=2025Q2, AE=A)")</f>
        <v/>
      </c>
      <c r="F23" s="13">
        <f>IFERROR(D23/E23-1,"")</f>
        <v/>
      </c>
      <c r="G23" s="12">
        <f>BQL($C23,"HEADLINE_REV_PER_SHARE(FPT=Q, FPR=2026Q2, AE=E)")</f>
        <v/>
      </c>
      <c r="H23" s="12">
        <f>BQL($C23,"HEADLINE_REV_PER_SHARE(FPT=Q, FPR=2025Q2, AE=A)")</f>
        <v/>
      </c>
      <c r="I23" s="13">
        <f>IFERROR(G23/H23-1,"")</f>
        <v/>
      </c>
      <c r="J23" s="12">
        <f>BQL($C23,"ebitda_per_sh(FPT=Q, FPR=2026Q2, AE=E)")</f>
        <v/>
      </c>
      <c r="K23" s="12">
        <f>BQL($C23,"ebitda_per_sh(FPT=Q, FPR=2025Q2, AE=A)")</f>
        <v/>
      </c>
      <c r="L23" s="13">
        <f>IFERROR(J23/K23-1,"")</f>
        <v/>
      </c>
    </row>
    <row r="24">
      <c r="B24" s="10" t="inlineStr">
        <is>
          <t>Imobiliário</t>
        </is>
      </c>
      <c r="C24" s="11" t="inlineStr">
        <is>
          <t>MXBR0RE Index</t>
        </is>
      </c>
      <c r="D24" s="12">
        <f>BQL($C24,"HEADLINE_EPS_MARKET(FPT=Q, FPR=2026Q2, AE=E)")</f>
        <v/>
      </c>
      <c r="E24" s="12">
        <f>BQL($C24,"HEADLINE_EPS_MARKET(FPT=Q, FPR=2025Q2, AE=A)")</f>
        <v/>
      </c>
      <c r="F24" s="13">
        <f>IFERROR(D24/E24-1,"")</f>
        <v/>
      </c>
      <c r="G24" s="12">
        <f>BQL($C24,"HEADLINE_REV_PER_SHARE(FPT=Q, FPR=2026Q2, AE=E)")</f>
        <v/>
      </c>
      <c r="H24" s="12">
        <f>BQL($C24,"HEADLINE_REV_PER_SHARE(FPT=Q, FPR=2025Q2, AE=A)")</f>
        <v/>
      </c>
      <c r="I24" s="13">
        <f>IFERROR(G24/H24-1,"")</f>
        <v/>
      </c>
      <c r="J24" s="12">
        <f>BQL($C24,"ebitda_per_sh(FPT=Q, FPR=2026Q2, AE=E)")</f>
        <v/>
      </c>
      <c r="K24" s="12">
        <f>BQL($C24,"ebitda_per_sh(FPT=Q, FPR=2025Q2, AE=A)")</f>
        <v/>
      </c>
      <c r="L24" s="13">
        <f>IFERROR(J24/K24-1,"")</f>
        <v/>
      </c>
    </row>
    <row r="25">
      <c r="B25" s="14" t="inlineStr">
        <is>
          <t>MSCI Brazil (total)</t>
        </is>
      </c>
      <c r="C25" s="11" t="inlineStr">
        <is>
          <t>MXBR Index</t>
        </is>
      </c>
      <c r="D25" s="12">
        <f>BQL($C25,"HEADLINE_EPS_MARKET(FPT=Q, FPR=2026Q2, AE=E)")</f>
        <v/>
      </c>
      <c r="E25" s="12">
        <f>BQL($C25,"HEADLINE_EPS_MARKET(FPT=Q, FPR=2025Q2, AE=A)")</f>
        <v/>
      </c>
      <c r="F25" s="15">
        <f>IFERROR(D25/E25-1,"")</f>
        <v/>
      </c>
      <c r="G25" s="12">
        <f>BQL($C25,"HEADLINE_REV_PER_SHARE(FPT=Q, FPR=2026Q2, AE=E)")</f>
        <v/>
      </c>
      <c r="H25" s="12">
        <f>BQL($C25,"HEADLINE_REV_PER_SHARE(FPT=Q, FPR=2025Q2, AE=A)")</f>
        <v/>
      </c>
      <c r="I25" s="15">
        <f>IFERROR(G25/H25-1,"")</f>
        <v/>
      </c>
      <c r="J25" s="12">
        <f>BQL($C25,"ebitda_per_sh(FPT=Q, FPR=2026Q2, AE=E)")</f>
        <v/>
      </c>
      <c r="K25" s="12">
        <f>BQL($C25,"ebitda_per_sh(FPT=Q, FPR=2025Q2, AE=A)")</f>
        <v/>
      </c>
      <c r="L25" s="15">
        <f>IFERROR(J25/K25-1,"")</f>
        <v/>
      </c>
    </row>
    <row r="27">
      <c r="B27" s="7" t="inlineStr">
        <is>
          <t>Obs.: valores aparecem após atualizar via add-in Bloomberg (Refresh All / Ctrl+Alt+F9). Confira os tickers setoriais no Terminal; setores sem índice retornam #N/A.</t>
        </is>
      </c>
    </row>
    <row r="28">
      <c r="B28" s="7" t="inlineStr">
        <is>
          <t>Campos BQL: EPS=HEADLINE_EPS_MARKET · Receita/Ação=HEADLINE_REV_PER_SHARE · EBITDA/Ação=ebitda_per_sh. Crescimento YoY = 2T26E / 2T25A − 1.</t>
        </is>
      </c>
    </row>
  </sheetData>
  <mergeCells count="3">
    <mergeCell ref="D12:F12"/>
    <mergeCell ref="J12:L12"/>
    <mergeCell ref="G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2026-07-17T21:03:59Z</dcterms:created>
  <dcterms:modified xsi:type="dcterms:W3CDTF">2026-07-17T21:03:59Z</dcterms:modified>
</cp:coreProperties>
</file>