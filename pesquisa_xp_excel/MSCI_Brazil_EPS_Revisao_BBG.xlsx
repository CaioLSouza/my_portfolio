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inel" sheetId="2" state="visible" r:id="rId2"/>
    <sheet name="Séries" sheetId="3" state="visible" r:id="rId3"/>
  </sheets>
  <definedNames>
    <definedName name="StartDate">Painel!$C$6</definedName>
    <definedName name="EndDate">Painel!$C$7</definedName>
    <definedName name="optPer">Painel!$F$6</definedName>
    <definedName name="optFPer">Painel!$F$7</definedName>
    <definedName name="optCcy">Painel!$F$8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343436"/>
      <sz val="16"/>
    </font>
    <font>
      <i val="1"/>
      <color rgb="007E7E7E"/>
      <sz val="10"/>
    </font>
    <font>
      <b val="1"/>
      <color rgb="00343436"/>
      <sz val="12"/>
    </font>
    <font>
      <b val="1"/>
      <color rgb="00343436"/>
    </font>
    <font>
      <i val="1"/>
      <color rgb="007E7E7E"/>
      <sz val="9"/>
    </font>
    <font>
      <color rgb="007E7E7E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34343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5" fontId="0" fillId="2" borderId="1" applyAlignment="1" pivotButton="0" quotePrefix="0" xfId="0">
      <alignment horizontal="center"/>
    </xf>
    <xf numFmtId="0" fontId="6" fillId="0" borderId="0" pivotButton="0" quotePrefix="0" xfId="0"/>
    <xf numFmtId="0" fontId="0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Revisão de EPS por setor — MSCI Brazil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'Painel'!F13</f>
            </strRef>
          </tx>
          <spPr>
            <a:solidFill>
              <a:srgbClr val="FFBC00"/>
            </a:solidFill>
            <a:ln>
              <a:prstDash val="solid"/>
            </a:ln>
          </spPr>
          <cat>
            <numRef>
              <f>'Painel'!$B$14:$B$25</f>
            </numRef>
          </cat>
          <val>
            <numRef>
              <f>'Painel'!$F$14:$F$25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Revisão de EPS — Setores do MSCI Brazil (Bloomberg)</t>
        </is>
      </c>
    </row>
    <row r="3">
      <c r="B3" t="inlineStr"/>
    </row>
    <row r="4">
      <c r="B4" s="2" t="inlineStr">
        <is>
          <t>O que faz</t>
        </is>
      </c>
    </row>
    <row r="5">
      <c r="B5" t="inlineStr">
        <is>
          <t>Puxa o histórico do EPS consensus forward (campo BEST_EPS) de cada índice setorial do MSCI Brazil, para o range</t>
        </is>
      </c>
    </row>
    <row r="6">
      <c r="B6" t="inlineStr">
        <is>
          <t>de datas definido no Painel, e calcula a REVISÃO no período = EPS final / EPS inicial − 1.</t>
        </is>
      </c>
    </row>
    <row r="7">
      <c r="B7" t="inlineStr"/>
    </row>
    <row r="8">
      <c r="B8" s="2" t="inlineStr">
        <is>
          <t>Requisitos</t>
        </is>
      </c>
    </row>
    <row r="9">
      <c r="B9" t="inlineStr">
        <is>
          <t>• Excel com o add-in do Bloomberg (BLP/Bloomberg API) instalado e logado no Terminal.</t>
        </is>
      </c>
    </row>
    <row r="10">
      <c r="B10" t="inlineStr">
        <is>
          <t>• Sem o add-in, as fórmulas =BDH(...) aparecem como texto / #NAME? — é esperado.</t>
        </is>
      </c>
    </row>
    <row r="11">
      <c r="B11" t="inlineStr"/>
    </row>
    <row r="12">
      <c r="B12" s="2" t="inlineStr">
        <is>
          <t>Como usar</t>
        </is>
      </c>
    </row>
    <row r="13">
      <c r="B13" t="inlineStr">
        <is>
          <t>1) Aba 'Painel' → preencha: Data inicial, Data final, Periodicidade (D/W/M/Q), Período fiscal e Moeda.</t>
        </is>
      </c>
    </row>
    <row r="14">
      <c r="B14" t="inlineStr">
        <is>
          <t>2) Confira/edite os tickers setoriais na coluna 'Ticker' (uma única fonte; a aba 'Séries' e as fórmulas usam ela).</t>
        </is>
      </c>
    </row>
    <row r="15">
      <c r="B15" t="inlineStr">
        <is>
          <t>3) Atualize: aba Bloomberg → 'Refresh All' (ou Ctrl+Alt+F9). Os dados descem na aba 'Séries' e o Painel calcula.</t>
        </is>
      </c>
    </row>
    <row r="16">
      <c r="B16" t="inlineStr"/>
    </row>
    <row r="17">
      <c r="B17" s="2" t="inlineStr">
        <is>
          <t>Parâmetros</t>
        </is>
      </c>
    </row>
    <row r="18">
      <c r="B18" t="inlineStr">
        <is>
          <t>• Periodicidade: D=diária, W=semanal, M=mensal, Q=trimestral (opção 'Per' do BDH).</t>
        </is>
      </c>
    </row>
    <row r="19">
      <c r="B19" t="inlineStr">
        <is>
          <t>• Período fiscal (BEST_FPERIOD_OVERRIDE): 1BF=FY1 blended, 2BF=FY2, BF=blended forward, 1GY/2GY=ano fiscal.</t>
        </is>
      </c>
    </row>
    <row r="20">
      <c r="B20" t="inlineStr">
        <is>
          <t>• Moeda: converte o EPS (ex.: BRL isola o fundamento; USD/…​ embutem FX entre as duas datas). Recomendado: BRL.</t>
        </is>
      </c>
    </row>
    <row r="21">
      <c r="B21" t="inlineStr"/>
    </row>
    <row r="22">
      <c r="B22" s="2" t="inlineStr">
        <is>
          <t>Cálculo da revisão</t>
        </is>
      </c>
    </row>
    <row r="23">
      <c r="B23" t="inlineStr">
        <is>
          <t>• EPS inicial = BEST_EPS na 1ª data do range; EPS final = BEST_EPS na última data (via INDEX/MATCH + AGGREGATE,</t>
        </is>
      </c>
    </row>
    <row r="24">
      <c r="B24" t="inlineStr">
        <is>
          <t xml:space="preserve">  que ignora #N/A das linhas não usadas do array). Revisão % = EPS final / EPS inicial − 1.</t>
        </is>
      </c>
    </row>
    <row r="25">
      <c r="B25" t="inlineStr"/>
    </row>
    <row r="26">
      <c r="B26" s="2" t="inlineStr">
        <is>
          <t>Tickers (IMPORTANTE — verificar)</t>
        </is>
      </c>
    </row>
    <row r="27">
      <c r="B27" t="inlineStr">
        <is>
          <t>• Usei a convenção MXBR0&lt;GICS&gt; Index (ex.: MXBR0FN = Financeiro, MXBR0EN = Energia, MXBR Index = total).</t>
        </is>
      </c>
    </row>
    <row r="28">
      <c r="B28" t="inlineStr">
        <is>
          <t>• Nem todo setor tem índice no MSCI Brazil (ex.: TI/Imobiliário podem ser pequenos/inexistentes) → pode vir #N/A.</t>
        </is>
      </c>
    </row>
    <row r="29">
      <c r="B29" t="inlineStr">
        <is>
          <t>• Confirme cada ticker no Terminal (digite o ticker + &lt;Index&gt; + &lt;GO&gt;, ou use o buscador de índices MSCI).</t>
        </is>
      </c>
    </row>
    <row r="30">
      <c r="B30" t="inlineStr"/>
    </row>
    <row r="31">
      <c r="B31" s="2" t="inlineStr">
        <is>
          <t>Ajustes úteis</t>
        </is>
      </c>
    </row>
    <row r="32">
      <c r="B32" t="inlineStr">
        <is>
          <t>• Range de datas muito longo em periodicidade DIÁRIA: o bloco do array vai até 3000 linhas (~12 anos diários /</t>
        </is>
      </c>
    </row>
    <row r="33">
      <c r="B33" t="inlineStr">
        <is>
          <t xml:space="preserve">  ~57 anos semanais). Se precisar de mais, amplie o intervalo do array na aba 'Séries'.</t>
        </is>
      </c>
    </row>
    <row r="34">
      <c r="B34" t="inlineStr">
        <is>
          <t>• Erros #N/A N/A: ticker inválido, sem histórico de estimativa, ou período fiscal indisponível para o índice.</t>
        </is>
      </c>
    </row>
    <row r="35">
      <c r="B35" t="inlineStr">
        <is>
          <t>• #SPILL! na aba 'Séries': cada BDH é array dinâmico e precisa das linhas/colunas abaixo e à direita da célula</t>
        </is>
      </c>
    </row>
    <row r="36">
      <c r="B36" t="inlineStr">
        <is>
          <t xml:space="preserve">  âncora (linha 4 de cada bloco) VAZIAS para derramar. Não cole nada nessa área; blocos já vêm espaçados.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6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2">
      <c r="B2" s="1" t="inlineStr">
        <is>
          <t>Revisão de EPS — Setores do MSCI Brazil (dados Bloomberg)</t>
        </is>
      </c>
    </row>
    <row r="3">
      <c r="B3" s="3" t="inlineStr">
        <is>
          <t>Puxa o histórico de BEST_EPS (consenso forward) por setor via BDH e calcula a revisão no período.</t>
        </is>
      </c>
    </row>
    <row r="5">
      <c r="B5" s="2" t="inlineStr">
        <is>
          <t>Parâmetros</t>
        </is>
      </c>
      <c r="E5" s="4" t="inlineStr">
        <is>
          <t>Auxiliar (não editar)</t>
        </is>
      </c>
    </row>
    <row r="6">
      <c r="B6" s="5" t="inlineStr">
        <is>
          <t>Data inicial</t>
        </is>
      </c>
      <c r="C6" s="6" t="n">
        <v>45658</v>
      </c>
      <c r="E6" s="7" t="inlineStr">
        <is>
          <t>opção Per</t>
        </is>
      </c>
      <c r="F6" s="7">
        <f>"Per="&amp;C8</f>
        <v/>
      </c>
    </row>
    <row r="7">
      <c r="B7" s="5" t="inlineStr">
        <is>
          <t>Data final</t>
        </is>
      </c>
      <c r="C7" s="6" t="n">
        <v>46219</v>
      </c>
      <c r="E7" s="7" t="inlineStr">
        <is>
          <t>opção período fiscal</t>
        </is>
      </c>
      <c r="F7" s="7">
        <f>"BEST_FPERIOD_OVERRIDE="&amp;C9</f>
        <v/>
      </c>
    </row>
    <row r="8">
      <c r="B8" s="5" t="inlineStr">
        <is>
          <t>Periodicidade (D/W/M/Q)</t>
        </is>
      </c>
      <c r="C8" s="8" t="inlineStr">
        <is>
          <t>W</t>
        </is>
      </c>
      <c r="E8" s="7" t="inlineStr">
        <is>
          <t>opção moeda</t>
        </is>
      </c>
      <c r="F8" s="7">
        <f>"currency="&amp;C10</f>
        <v/>
      </c>
    </row>
    <row r="9">
      <c r="B9" s="5" t="inlineStr">
        <is>
          <t>Período fiscal (BF/1BF/2BF...)</t>
        </is>
      </c>
      <c r="C9" s="8" t="inlineStr">
        <is>
          <t>1BF</t>
        </is>
      </c>
    </row>
    <row r="10">
      <c r="B10" s="5" t="inlineStr">
        <is>
          <t>Moeda (BRL/USD/LOCAL)</t>
        </is>
      </c>
      <c r="C10" s="8" t="inlineStr">
        <is>
          <t>BRL</t>
        </is>
      </c>
    </row>
    <row r="13">
      <c r="B13" s="9" t="inlineStr">
        <is>
          <t>Setor</t>
        </is>
      </c>
      <c r="C13" s="9" t="inlineStr">
        <is>
          <t>Ticker (verificar no Terminal)</t>
        </is>
      </c>
      <c r="D13" s="9" t="inlineStr">
        <is>
          <t>EPS inicial</t>
        </is>
      </c>
      <c r="E13" s="9" t="inlineStr">
        <is>
          <t>EPS final</t>
        </is>
      </c>
      <c r="F13" s="9" t="inlineStr">
        <is>
          <t>Revisão %</t>
        </is>
      </c>
    </row>
    <row r="14">
      <c r="B14" s="10" t="inlineStr">
        <is>
          <t>Energia</t>
        </is>
      </c>
      <c r="C14" s="8" t="inlineStr">
        <is>
          <t>MXBR0EN Index</t>
        </is>
      </c>
      <c r="D14" s="11">
        <f>IFERROR(INDEX(Séries!$B$4:$B$3003,MATCH(AGGREGATE(15,6,Séries!$A$4:$A$3003,1),Séries!$A$4:$A$3003,0)),"")</f>
        <v/>
      </c>
      <c r="E14" s="11">
        <f>IFERROR(INDEX(Séries!$B$4:$B$3003,MATCH(AGGREGATE(14,6,Séries!$A$4:$A$3003,1),Séries!$A$4:$A$3003,0)),"")</f>
        <v/>
      </c>
      <c r="F14" s="12">
        <f>IFERROR(E14/D14-1,"")</f>
        <v/>
      </c>
    </row>
    <row r="15">
      <c r="B15" s="10" t="inlineStr">
        <is>
          <t>Materiais</t>
        </is>
      </c>
      <c r="C15" s="8" t="inlineStr">
        <is>
          <t>MXBR0MT Index</t>
        </is>
      </c>
      <c r="D15" s="11">
        <f>IFERROR(INDEX(Séries!$E$4:$E$3003,MATCH(AGGREGATE(15,6,Séries!$D$4:$D$3003,1),Séries!$D$4:$D$3003,0)),"")</f>
        <v/>
      </c>
      <c r="E15" s="11">
        <f>IFERROR(INDEX(Séries!$E$4:$E$3003,MATCH(AGGREGATE(14,6,Séries!$D$4:$D$3003,1),Séries!$D$4:$D$3003,0)),"")</f>
        <v/>
      </c>
      <c r="F15" s="12">
        <f>IFERROR(E15/D15-1,"")</f>
        <v/>
      </c>
    </row>
    <row r="16">
      <c r="B16" s="10" t="inlineStr">
        <is>
          <t>Bens Industriais</t>
        </is>
      </c>
      <c r="C16" s="8" t="inlineStr">
        <is>
          <t>MXBR0IN Index</t>
        </is>
      </c>
      <c r="D16" s="11">
        <f>IFERROR(INDEX(Séries!$H$4:$H$3003,MATCH(AGGREGATE(15,6,Séries!$G$4:$G$3003,1),Séries!$G$4:$G$3003,0)),"")</f>
        <v/>
      </c>
      <c r="E16" s="11">
        <f>IFERROR(INDEX(Séries!$H$4:$H$3003,MATCH(AGGREGATE(14,6,Séries!$G$4:$G$3003,1),Séries!$G$4:$G$3003,0)),"")</f>
        <v/>
      </c>
      <c r="F16" s="12">
        <f>IFERROR(E16/D16-1,"")</f>
        <v/>
      </c>
    </row>
    <row r="17">
      <c r="B17" s="10" t="inlineStr">
        <is>
          <t>Consumo Discricionário</t>
        </is>
      </c>
      <c r="C17" s="8" t="inlineStr">
        <is>
          <t>MXBR0CD Index</t>
        </is>
      </c>
      <c r="D17" s="11">
        <f>IFERROR(INDEX(Séries!$K$4:$K$3003,MATCH(AGGREGATE(15,6,Séries!$J$4:$J$3003,1),Séries!$J$4:$J$3003,0)),"")</f>
        <v/>
      </c>
      <c r="E17" s="11">
        <f>IFERROR(INDEX(Séries!$K$4:$K$3003,MATCH(AGGREGATE(14,6,Séries!$J$4:$J$3003,1),Séries!$J$4:$J$3003,0)),"")</f>
        <v/>
      </c>
      <c r="F17" s="12">
        <f>IFERROR(E17/D17-1,"")</f>
        <v/>
      </c>
    </row>
    <row r="18">
      <c r="B18" s="10" t="inlineStr">
        <is>
          <t>Consumo Básico</t>
        </is>
      </c>
      <c r="C18" s="8" t="inlineStr">
        <is>
          <t>MXBR0CS Index</t>
        </is>
      </c>
      <c r="D18" s="11">
        <f>IFERROR(INDEX(Séries!$N$4:$N$3003,MATCH(AGGREGATE(15,6,Séries!$M$4:$M$3003,1),Séries!$M$4:$M$3003,0)),"")</f>
        <v/>
      </c>
      <c r="E18" s="11">
        <f>IFERROR(INDEX(Séries!$N$4:$N$3003,MATCH(AGGREGATE(14,6,Séries!$M$4:$M$3003,1),Séries!$M$4:$M$3003,0)),"")</f>
        <v/>
      </c>
      <c r="F18" s="12">
        <f>IFERROR(E18/D18-1,"")</f>
        <v/>
      </c>
    </row>
    <row r="19">
      <c r="B19" s="10" t="inlineStr">
        <is>
          <t>Saúde</t>
        </is>
      </c>
      <c r="C19" s="8" t="inlineStr">
        <is>
          <t>MXBR0HC Index</t>
        </is>
      </c>
      <c r="D19" s="11">
        <f>IFERROR(INDEX(Séries!$Q$4:$Q$3003,MATCH(AGGREGATE(15,6,Séries!$P$4:$P$3003,1),Séries!$P$4:$P$3003,0)),"")</f>
        <v/>
      </c>
      <c r="E19" s="11">
        <f>IFERROR(INDEX(Séries!$Q$4:$Q$3003,MATCH(AGGREGATE(14,6,Séries!$P$4:$P$3003,1),Séries!$P$4:$P$3003,0)),"")</f>
        <v/>
      </c>
      <c r="F19" s="12">
        <f>IFERROR(E19/D19-1,"")</f>
        <v/>
      </c>
    </row>
    <row r="20">
      <c r="B20" s="10" t="inlineStr">
        <is>
          <t>Financeiro</t>
        </is>
      </c>
      <c r="C20" s="8" t="inlineStr">
        <is>
          <t>MXBR0FN Index</t>
        </is>
      </c>
      <c r="D20" s="11">
        <f>IFERROR(INDEX(Séries!$T$4:$T$3003,MATCH(AGGREGATE(15,6,Séries!$S$4:$S$3003,1),Séries!$S$4:$S$3003,0)),"")</f>
        <v/>
      </c>
      <c r="E20" s="11">
        <f>IFERROR(INDEX(Séries!$T$4:$T$3003,MATCH(AGGREGATE(14,6,Séries!$S$4:$S$3003,1),Séries!$S$4:$S$3003,0)),"")</f>
        <v/>
      </c>
      <c r="F20" s="12">
        <f>IFERROR(E20/D20-1,"")</f>
        <v/>
      </c>
    </row>
    <row r="21">
      <c r="B21" s="10" t="inlineStr">
        <is>
          <t>Tecnologia da Informação</t>
        </is>
      </c>
      <c r="C21" s="8" t="inlineStr">
        <is>
          <t>MXBR0IT Index</t>
        </is>
      </c>
      <c r="D21" s="11">
        <f>IFERROR(INDEX(Séries!$W$4:$W$3003,MATCH(AGGREGATE(15,6,Séries!$V$4:$V$3003,1),Séries!$V$4:$V$3003,0)),"")</f>
        <v/>
      </c>
      <c r="E21" s="11">
        <f>IFERROR(INDEX(Séries!$W$4:$W$3003,MATCH(AGGREGATE(14,6,Séries!$V$4:$V$3003,1),Séries!$V$4:$V$3003,0)),"")</f>
        <v/>
      </c>
      <c r="F21" s="12">
        <f>IFERROR(E21/D21-1,"")</f>
        <v/>
      </c>
    </row>
    <row r="22">
      <c r="B22" s="10" t="inlineStr">
        <is>
          <t>Serviços de Comunicação</t>
        </is>
      </c>
      <c r="C22" s="8" t="inlineStr">
        <is>
          <t>MXBR0TC Index</t>
        </is>
      </c>
      <c r="D22" s="11">
        <f>IFERROR(INDEX(Séries!$Z$4:$Z$3003,MATCH(AGGREGATE(15,6,Séries!$Y$4:$Y$3003,1),Séries!$Y$4:$Y$3003,0)),"")</f>
        <v/>
      </c>
      <c r="E22" s="11">
        <f>IFERROR(INDEX(Séries!$Z$4:$Z$3003,MATCH(AGGREGATE(14,6,Séries!$Y$4:$Y$3003,1),Séries!$Y$4:$Y$3003,0)),"")</f>
        <v/>
      </c>
      <c r="F22" s="12">
        <f>IFERROR(E22/D22-1,"")</f>
        <v/>
      </c>
    </row>
    <row r="23">
      <c r="B23" s="10" t="inlineStr">
        <is>
          <t>Utilities (Serv. Públicos)</t>
        </is>
      </c>
      <c r="C23" s="8" t="inlineStr">
        <is>
          <t>MXBR0UT Index</t>
        </is>
      </c>
      <c r="D23" s="11">
        <f>IFERROR(INDEX(Séries!$AC$4:$AC$3003,MATCH(AGGREGATE(15,6,Séries!$AB$4:$AB$3003,1),Séries!$AB$4:$AB$3003,0)),"")</f>
        <v/>
      </c>
      <c r="E23" s="11">
        <f>IFERROR(INDEX(Séries!$AC$4:$AC$3003,MATCH(AGGREGATE(14,6,Séries!$AB$4:$AB$3003,1),Séries!$AB$4:$AB$3003,0)),"")</f>
        <v/>
      </c>
      <c r="F23" s="12">
        <f>IFERROR(E23/D23-1,"")</f>
        <v/>
      </c>
    </row>
    <row r="24">
      <c r="B24" s="10" t="inlineStr">
        <is>
          <t>Imobiliário</t>
        </is>
      </c>
      <c r="C24" s="8" t="inlineStr">
        <is>
          <t>MXBR0RE Index</t>
        </is>
      </c>
      <c r="D24" s="11">
        <f>IFERROR(INDEX(Séries!$AF$4:$AF$3003,MATCH(AGGREGATE(15,6,Séries!$AE$4:$AE$3003,1),Séries!$AE$4:$AE$3003,0)),"")</f>
        <v/>
      </c>
      <c r="E24" s="11">
        <f>IFERROR(INDEX(Séries!$AF$4:$AF$3003,MATCH(AGGREGATE(14,6,Séries!$AE$4:$AE$3003,1),Séries!$AE$4:$AE$3003,0)),"")</f>
        <v/>
      </c>
      <c r="F24" s="12">
        <f>IFERROR(E24/D24-1,"")</f>
        <v/>
      </c>
    </row>
    <row r="25">
      <c r="B25" s="10" t="inlineStr">
        <is>
          <t>MSCI Brazil (total)</t>
        </is>
      </c>
      <c r="C25" s="8" t="inlineStr">
        <is>
          <t>MXBR Index</t>
        </is>
      </c>
      <c r="D25" s="11">
        <f>IFERROR(INDEX(Séries!$AI$4:$AI$3003,MATCH(AGGREGATE(15,6,Séries!$AH$4:$AH$3003,1),Séries!$AH$4:$AH$3003,0)),"")</f>
        <v/>
      </c>
      <c r="E25" s="11">
        <f>IFERROR(INDEX(Séries!$AI$4:$AI$3003,MATCH(AGGREGATE(14,6,Séries!$AH$4:$AH$3003,1),Séries!$AH$4:$AH$3003,0)),"")</f>
        <v/>
      </c>
      <c r="F25" s="12">
        <f>IFERROR(E25/D25-1,"")</f>
        <v/>
      </c>
    </row>
    <row r="27">
      <c r="B27" s="4" t="inlineStr">
        <is>
          <t>Obs.: valores aparecem após atualizar via add-in Bloomberg (Refresh All). Confira os tickers setoriais no Terminal.</t>
        </is>
      </c>
    </row>
  </sheetData>
  <conditionalFormatting sqref="F14:F25">
    <cfRule type="colorScale" priority="1">
      <colorScale>
        <cfvo type="num" val="-0.15"/>
        <cfvo type="num" val="0"/>
        <cfvo type="num" val="0.15"/>
        <color rgb="00F4B0A6"/>
        <color rgb="00FFFFFF"/>
        <color rgb="00A6E3D3"/>
      </colorScale>
    </cfRule>
  </conditionalFormatting>
  <dataValidations count="3">
    <dataValidation sqref="C8" showDropDown="0" showInputMessage="0" showErrorMessage="0" allowBlank="0" type="list">
      <formula1>"D,W,M,Q"</formula1>
    </dataValidation>
    <dataValidation sqref="C9" showDropDown="0" showInputMessage="0" showErrorMessage="0" allowBlank="0" type="list">
      <formula1>"BF,1BF,2BF,3BF,1GY,2GY"</formula1>
    </dataValidation>
    <dataValidation sqref="C10" showDropDown="0" showInputMessage="0" showErrorMessage="0" allowBlank="1" type="list">
      <formula1>"BRL,USD,EUR,LOCAL"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" customWidth="1" min="3" max="3"/>
    <col width="12" customWidth="1" min="4" max="4"/>
    <col width="13" customWidth="1" min="5" max="5"/>
    <col width="2" customWidth="1" min="6" max="6"/>
    <col width="12" customWidth="1" min="7" max="7"/>
    <col width="13" customWidth="1" min="8" max="8"/>
    <col width="2" customWidth="1" min="9" max="9"/>
    <col width="12" customWidth="1" min="10" max="10"/>
    <col width="13" customWidth="1" min="11" max="11"/>
    <col width="2" customWidth="1" min="12" max="12"/>
    <col width="12" customWidth="1" min="13" max="13"/>
    <col width="13" customWidth="1" min="14" max="14"/>
    <col width="2" customWidth="1" min="15" max="15"/>
    <col width="12" customWidth="1" min="16" max="16"/>
    <col width="13" customWidth="1" min="17" max="17"/>
    <col width="2" customWidth="1" min="18" max="18"/>
    <col width="12" customWidth="1" min="19" max="19"/>
    <col width="13" customWidth="1" min="20" max="20"/>
    <col width="2" customWidth="1" min="21" max="21"/>
    <col width="12" customWidth="1" min="22" max="22"/>
    <col width="13" customWidth="1" min="23" max="23"/>
    <col width="2" customWidth="1" min="24" max="24"/>
    <col width="12" customWidth="1" min="25" max="25"/>
    <col width="13" customWidth="1" min="26" max="26"/>
    <col width="2" customWidth="1" min="27" max="27"/>
    <col width="12" customWidth="1" min="28" max="28"/>
    <col width="13" customWidth="1" min="29" max="29"/>
    <col width="2" customWidth="1" min="30" max="30"/>
    <col width="12" customWidth="1" min="31" max="31"/>
    <col width="13" customWidth="1" min="32" max="32"/>
    <col width="2" customWidth="1" min="33" max="33"/>
    <col width="12" customWidth="1" min="34" max="34"/>
    <col width="13" customWidth="1" min="35" max="35"/>
    <col width="2" customWidth="1" min="36" max="36"/>
  </cols>
  <sheetData>
    <row r="1">
      <c r="A1" s="2" t="inlineStr">
        <is>
          <t>Energia</t>
        </is>
      </c>
      <c r="D1" s="2" t="inlineStr">
        <is>
          <t>Materiais</t>
        </is>
      </c>
      <c r="G1" s="2" t="inlineStr">
        <is>
          <t>Bens Industriais</t>
        </is>
      </c>
      <c r="J1" s="2" t="inlineStr">
        <is>
          <t>Consumo Discricionário</t>
        </is>
      </c>
      <c r="M1" s="2" t="inlineStr">
        <is>
          <t>Consumo Básico</t>
        </is>
      </c>
      <c r="P1" s="2" t="inlineStr">
        <is>
          <t>Saúde</t>
        </is>
      </c>
      <c r="S1" s="2" t="inlineStr">
        <is>
          <t>Financeiro</t>
        </is>
      </c>
      <c r="V1" s="2" t="inlineStr">
        <is>
          <t>Tecnologia da Informação</t>
        </is>
      </c>
      <c r="Y1" s="2" t="inlineStr">
        <is>
          <t>Serviços de Comunicação</t>
        </is>
      </c>
      <c r="AB1" s="2" t="inlineStr">
        <is>
          <t>Utilities (Serv. Públicos)</t>
        </is>
      </c>
      <c r="AE1" s="2" t="inlineStr">
        <is>
          <t>Imobiliário</t>
        </is>
      </c>
      <c r="AH1" s="2" t="inlineStr">
        <is>
          <t>MSCI Brazil (total)</t>
        </is>
      </c>
    </row>
    <row r="2">
      <c r="A2" s="7">
        <f>Painel!$C$14</f>
        <v/>
      </c>
      <c r="D2" s="7">
        <f>Painel!$C$15</f>
        <v/>
      </c>
      <c r="G2" s="7">
        <f>Painel!$C$16</f>
        <v/>
      </c>
      <c r="J2" s="7">
        <f>Painel!$C$17</f>
        <v/>
      </c>
      <c r="M2" s="7">
        <f>Painel!$C$18</f>
        <v/>
      </c>
      <c r="P2" s="7">
        <f>Painel!$C$19</f>
        <v/>
      </c>
      <c r="S2" s="7">
        <f>Painel!$C$20</f>
        <v/>
      </c>
      <c r="V2" s="7">
        <f>Painel!$C$21</f>
        <v/>
      </c>
      <c r="Y2" s="7">
        <f>Painel!$C$22</f>
        <v/>
      </c>
      <c r="AB2" s="7">
        <f>Painel!$C$23</f>
        <v/>
      </c>
      <c r="AE2" s="7">
        <f>Painel!$C$24</f>
        <v/>
      </c>
      <c r="AH2" s="7">
        <f>Painel!$C$25</f>
        <v/>
      </c>
    </row>
    <row r="3">
      <c r="A3" s="13" t="inlineStr">
        <is>
          <t>Data</t>
        </is>
      </c>
      <c r="B3" s="13" t="inlineStr">
        <is>
          <t>BEST_EPS (fwd)</t>
        </is>
      </c>
      <c r="D3" s="13" t="inlineStr">
        <is>
          <t>Data</t>
        </is>
      </c>
      <c r="E3" s="13" t="inlineStr">
        <is>
          <t>BEST_EPS (fwd)</t>
        </is>
      </c>
      <c r="G3" s="13" t="inlineStr">
        <is>
          <t>Data</t>
        </is>
      </c>
      <c r="H3" s="13" t="inlineStr">
        <is>
          <t>BEST_EPS (fwd)</t>
        </is>
      </c>
      <c r="J3" s="13" t="inlineStr">
        <is>
          <t>Data</t>
        </is>
      </c>
      <c r="K3" s="13" t="inlineStr">
        <is>
          <t>BEST_EPS (fwd)</t>
        </is>
      </c>
      <c r="M3" s="13" t="inlineStr">
        <is>
          <t>Data</t>
        </is>
      </c>
      <c r="N3" s="13" t="inlineStr">
        <is>
          <t>BEST_EPS (fwd)</t>
        </is>
      </c>
      <c r="P3" s="13" t="inlineStr">
        <is>
          <t>Data</t>
        </is>
      </c>
      <c r="Q3" s="13" t="inlineStr">
        <is>
          <t>BEST_EPS (fwd)</t>
        </is>
      </c>
      <c r="S3" s="13" t="inlineStr">
        <is>
          <t>Data</t>
        </is>
      </c>
      <c r="T3" s="13" t="inlineStr">
        <is>
          <t>BEST_EPS (fwd)</t>
        </is>
      </c>
      <c r="V3" s="13" t="inlineStr">
        <is>
          <t>Data</t>
        </is>
      </c>
      <c r="W3" s="13" t="inlineStr">
        <is>
          <t>BEST_EPS (fwd)</t>
        </is>
      </c>
      <c r="Y3" s="13" t="inlineStr">
        <is>
          <t>Data</t>
        </is>
      </c>
      <c r="Z3" s="13" t="inlineStr">
        <is>
          <t>BEST_EPS (fwd)</t>
        </is>
      </c>
      <c r="AB3" s="13" t="inlineStr">
        <is>
          <t>Data</t>
        </is>
      </c>
      <c r="AC3" s="13" t="inlineStr">
        <is>
          <t>BEST_EPS (fwd)</t>
        </is>
      </c>
      <c r="AE3" s="13" t="inlineStr">
        <is>
          <t>Data</t>
        </is>
      </c>
      <c r="AF3" s="13" t="inlineStr">
        <is>
          <t>BEST_EPS (fwd)</t>
        </is>
      </c>
      <c r="AH3" s="13" t="inlineStr">
        <is>
          <t>Data</t>
        </is>
      </c>
      <c r="AI3" s="13" t="inlineStr">
        <is>
          <t>BEST_EPS (fwd)</t>
        </is>
      </c>
    </row>
    <row r="4">
      <c r="A4">
        <f>BDH(Painel!$C$14,"BEST_EPS",StartDate,EndDate,optPer,optFPer,optCcy,"Fill=P")</f>
        <v/>
      </c>
      <c r="D4">
        <f>BDH(Painel!$C$15,"BEST_EPS",StartDate,EndDate,optPer,optFPer,optCcy,"Fill=P")</f>
        <v/>
      </c>
      <c r="G4">
        <f>BDH(Painel!$C$16,"BEST_EPS",StartDate,EndDate,optPer,optFPer,optCcy,"Fill=P")</f>
        <v/>
      </c>
      <c r="J4">
        <f>BDH(Painel!$C$17,"BEST_EPS",StartDate,EndDate,optPer,optFPer,optCcy,"Fill=P")</f>
        <v/>
      </c>
      <c r="M4">
        <f>BDH(Painel!$C$18,"BEST_EPS",StartDate,EndDate,optPer,optFPer,optCcy,"Fill=P")</f>
        <v/>
      </c>
      <c r="P4">
        <f>BDH(Painel!$C$19,"BEST_EPS",StartDate,EndDate,optPer,optFPer,optCcy,"Fill=P")</f>
        <v/>
      </c>
      <c r="S4">
        <f>BDH(Painel!$C$20,"BEST_EPS",StartDate,EndDate,optPer,optFPer,optCcy,"Fill=P")</f>
        <v/>
      </c>
      <c r="V4">
        <f>BDH(Painel!$C$21,"BEST_EPS",StartDate,EndDate,optPer,optFPer,optCcy,"Fill=P")</f>
        <v/>
      </c>
      <c r="Y4">
        <f>BDH(Painel!$C$22,"BEST_EPS",StartDate,EndDate,optPer,optFPer,optCcy,"Fill=P")</f>
        <v/>
      </c>
      <c r="AB4">
        <f>BDH(Painel!$C$23,"BEST_EPS",StartDate,EndDate,optPer,optFPer,optCcy,"Fill=P")</f>
        <v/>
      </c>
      <c r="AE4">
        <f>BDH(Painel!$C$24,"BEST_EPS",StartDate,EndDate,optPer,optFPer,optCcy,"Fill=P")</f>
        <v/>
      </c>
      <c r="AH4">
        <f>BDH(Painel!$C$25,"BEST_EPS",StartDate,EndDate,optPer,optFPer,optCcy,"Fill=P")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2026-07-16T17:29:46Z</dcterms:created>
  <dcterms:modified xsi:type="dcterms:W3CDTF">2026-07-16T17:29:46Z</dcterms:modified>
</cp:coreProperties>
</file>